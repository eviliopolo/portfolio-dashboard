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ERYTEL\DESARROLLOS\portfolio-dashboard\public\data\"/>
    </mc:Choice>
  </mc:AlternateContent>
  <xr:revisionPtr revIDLastSave="0" documentId="13_ncr:1_{34025D05-997B-4259-8BEC-C3FCBBE8FC4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Dashboard_Resumen" sheetId="1" r:id="rId1"/>
    <sheet name="Recursos" sheetId="3" r:id="rId2"/>
    <sheet name="Proyectos" sheetId="2" r:id="rId3"/>
    <sheet name="Horas" sheetId="9" r:id="rId4"/>
    <sheet name="Matriz_Horas" sheetId="4" r:id="rId5"/>
    <sheet name="Tareas" sheetId="5" r:id="rId6"/>
    <sheet name="Solapamientos" sheetId="6" r:id="rId7"/>
    <sheet name="Timeline" sheetId="7" r:id="rId8"/>
    <sheet name="Metricas_Grafico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9" l="1"/>
  <c r="S3" i="9"/>
  <c r="S4" i="9"/>
  <c r="S5" i="9"/>
  <c r="S6" i="9"/>
  <c r="S7" i="9"/>
  <c r="S8" i="9"/>
  <c r="I2" i="9"/>
  <c r="I3" i="9"/>
  <c r="I4" i="9"/>
  <c r="I5" i="9"/>
  <c r="I6" i="9"/>
  <c r="I7" i="9"/>
  <c r="I8" i="9"/>
  <c r="R9" i="9"/>
  <c r="Q9" i="9"/>
  <c r="P9" i="9"/>
  <c r="O9" i="9"/>
  <c r="N9" i="9"/>
  <c r="M9" i="9"/>
  <c r="L9" i="9"/>
  <c r="C9" i="9"/>
  <c r="D9" i="9"/>
  <c r="E9" i="9"/>
  <c r="F9" i="9"/>
  <c r="G9" i="9"/>
  <c r="H9" i="9"/>
  <c r="B9" i="9"/>
  <c r="I9" i="9" l="1"/>
  <c r="S9" i="9"/>
</calcChain>
</file>

<file path=xl/sharedStrings.xml><?xml version="1.0" encoding="utf-8"?>
<sst xmlns="http://schemas.openxmlformats.org/spreadsheetml/2006/main" count="1600" uniqueCount="377">
  <si>
    <t>DASHBOARD GERENCIAL - ANÁLISIS DE PORTAFOLIO</t>
  </si>
  <si>
    <t>KPI</t>
  </si>
  <si>
    <t>Valor</t>
  </si>
  <si>
    <t>Unidad</t>
  </si>
  <si>
    <t>Estado</t>
  </si>
  <si>
    <t>Target</t>
  </si>
  <si>
    <t>Tipo</t>
  </si>
  <si>
    <t>Proyectos_Activos</t>
  </si>
  <si>
    <t>proyectos</t>
  </si>
  <si>
    <t>normal</t>
  </si>
  <si>
    <t>count</t>
  </si>
  <si>
    <t>Tareas_Totales</t>
  </si>
  <si>
    <t>tareas</t>
  </si>
  <si>
    <t>Horas_Totales</t>
  </si>
  <si>
    <t>hrs</t>
  </si>
  <si>
    <t>hours</t>
  </si>
  <si>
    <t>Ocupacion_Fabrica</t>
  </si>
  <si>
    <t>%</t>
  </si>
  <si>
    <t>warning</t>
  </si>
  <si>
    <t>percentage</t>
  </si>
  <si>
    <t>Recursos_Criticos</t>
  </si>
  <si>
    <t>recursos</t>
  </si>
  <si>
    <t>critical</t>
  </si>
  <si>
    <t>Deficit_Neto</t>
  </si>
  <si>
    <t>dias</t>
  </si>
  <si>
    <t>days</t>
  </si>
  <si>
    <t>Capacidad_Disponible</t>
  </si>
  <si>
    <t>good</t>
  </si>
  <si>
    <t>Proyecto</t>
  </si>
  <si>
    <t>Fecha_Inicio</t>
  </si>
  <si>
    <t>Fecha_Fin</t>
  </si>
  <si>
    <t>Fecha_Entrega</t>
  </si>
  <si>
    <t>Dias_Calendario</t>
  </si>
  <si>
    <t>Tareas</t>
  </si>
  <si>
    <t>Recursos</t>
  </si>
  <si>
    <t>Prioridad</t>
  </si>
  <si>
    <t>XTAM VMS - XTAM EDGE - Sirena</t>
  </si>
  <si>
    <t>2025-12-15</t>
  </si>
  <si>
    <t>2026-01-29</t>
  </si>
  <si>
    <t>Programado</t>
  </si>
  <si>
    <t>Alta</t>
  </si>
  <si>
    <t>Onvif Certificacion</t>
  </si>
  <si>
    <t>2025-12-19</t>
  </si>
  <si>
    <t>2026-01-30</t>
  </si>
  <si>
    <t>Media</t>
  </si>
  <si>
    <t>Chatbot</t>
  </si>
  <si>
    <t>2025-12-11</t>
  </si>
  <si>
    <t>2026-01-14</t>
  </si>
  <si>
    <t>En_Progreso</t>
  </si>
  <si>
    <t>Ceres</t>
  </si>
  <si>
    <t>2026-01-19</t>
  </si>
  <si>
    <t>Baja</t>
  </si>
  <si>
    <t>XTAM NOC Integrado manttoGuard</t>
  </si>
  <si>
    <t>2026-01-05</t>
  </si>
  <si>
    <t>Otros Prioritarios</t>
  </si>
  <si>
    <t>Control Asistencia</t>
  </si>
  <si>
    <t>2025-12-18</t>
  </si>
  <si>
    <t>2026-01-06</t>
  </si>
  <si>
    <t>Informe Mensual</t>
  </si>
  <si>
    <t>Recurso</t>
  </si>
  <si>
    <t>Proyectos</t>
  </si>
  <si>
    <t>Horas_Necesarias</t>
  </si>
  <si>
    <t>Horas_Disponibles</t>
  </si>
  <si>
    <t>Ocupacion_%</t>
  </si>
  <si>
    <t>Deficit_Hrs</t>
  </si>
  <si>
    <t>Capacidad_Hrs</t>
  </si>
  <si>
    <t>Max_Concurrentes</t>
  </si>
  <si>
    <t>Categoria</t>
  </si>
  <si>
    <t>Freelancer</t>
  </si>
  <si>
    <t>Critico</t>
  </si>
  <si>
    <t>sobrecargado</t>
  </si>
  <si>
    <t>Felipe Hurtado</t>
  </si>
  <si>
    <t>Alerta</t>
  </si>
  <si>
    <t>al_limite</t>
  </si>
  <si>
    <t>Eliseo Torres</t>
  </si>
  <si>
    <t>Andres Vallejo</t>
  </si>
  <si>
    <t>Sebastian Hernandez</t>
  </si>
  <si>
    <t>Normal</t>
  </si>
  <si>
    <t>optimo</t>
  </si>
  <si>
    <t>Christian Contreras</t>
  </si>
  <si>
    <t>Leonel Beltran</t>
  </si>
  <si>
    <t>Daniel Gallego</t>
  </si>
  <si>
    <t>Evilio Polo</t>
  </si>
  <si>
    <t>Juan David</t>
  </si>
  <si>
    <t>Subcargado</t>
  </si>
  <si>
    <t>con_capacidad</t>
  </si>
  <si>
    <t>Total</t>
  </si>
  <si>
    <t>TOTAL</t>
  </si>
  <si>
    <t>ID</t>
  </si>
  <si>
    <t>Fase</t>
  </si>
  <si>
    <t>Actividad</t>
  </si>
  <si>
    <t>Responsable</t>
  </si>
  <si>
    <t>Duracion_Dias</t>
  </si>
  <si>
    <t>Horas_Estimadas</t>
  </si>
  <si>
    <t>Avance_Real_%</t>
  </si>
  <si>
    <t>Conector Nat Router / Sirena</t>
  </si>
  <si>
    <t>Integracion a Whatsapp</t>
  </si>
  <si>
    <t>2026-01-09</t>
  </si>
  <si>
    <t>Metodos CRUD SITIOS , XTAM VIDEO</t>
  </si>
  <si>
    <t>2025-12-16</t>
  </si>
  <si>
    <t>Metodos CRUD XTAM ALARM</t>
  </si>
  <si>
    <t>Metodos CRUD MiniIoT</t>
  </si>
  <si>
    <t>2025-12-17</t>
  </si>
  <si>
    <t>Metodos Funcionales Grabaciones(Bookmarks, insert, delete, get, convert mp4 get m3u8)</t>
  </si>
  <si>
    <t>Metodos Funcionales MiniIoT(C, F, D)</t>
  </si>
  <si>
    <t>Metodos Cadena de Custodia (Snapchots,CRUD SPOA, PDF, HASH)</t>
  </si>
  <si>
    <t>2025-12-22</t>
  </si>
  <si>
    <t>2025-12-26</t>
  </si>
  <si>
    <t>Metodos Funcionales Streaming(BandSafe, logs)</t>
  </si>
  <si>
    <t>Metodos NOC(E.S,iot,telemetria by soft)</t>
  </si>
  <si>
    <t>2025-12-23</t>
  </si>
  <si>
    <t>Analiticas from XTAM EDGE</t>
  </si>
  <si>
    <t>Metodos sync XTAM EDGE</t>
  </si>
  <si>
    <t>2025-12-24</t>
  </si>
  <si>
    <t>Metodos Dashboards DATA AND ANALITYCS</t>
  </si>
  <si>
    <t>2025-12-27</t>
  </si>
  <si>
    <t>Mapas( XTAM VIDEO , SIRENAS, BOTONES,CAMARAS, MiniIoT)</t>
  </si>
  <si>
    <t>Metodos Servicios NOC (E.S,SMS Service, cambio de escena, etc.)</t>
  </si>
  <si>
    <t>2025-12-29</t>
  </si>
  <si>
    <t>2025-12-30</t>
  </si>
  <si>
    <t>Notificaciones y alarmas del sistema</t>
  </si>
  <si>
    <t>2025-12-31</t>
  </si>
  <si>
    <t>Página Funcionales Grabaciones(Bookmarks, cadena de custodia)</t>
  </si>
  <si>
    <t>Página Funcionales Streaming(Corte de video, logs auditoria)</t>
  </si>
  <si>
    <t>Dashboard Estado del sistema ( Cámaras, Sitios)</t>
  </si>
  <si>
    <t>Dashboard Analiticas from XTAM EDGE</t>
  </si>
  <si>
    <t>Notificaciones y alarmas del sistema ( alarmas analitica, NOC y botones)</t>
  </si>
  <si>
    <t>2026-01-02</t>
  </si>
  <si>
    <t>Dashboards DATA AND ANALITYCS Reportes</t>
  </si>
  <si>
    <t>2026-01-08</t>
  </si>
  <si>
    <t>Dashboard NOC (E.S,SMS Service, cambio de escena, etc.)</t>
  </si>
  <si>
    <t>2026-01-12</t>
  </si>
  <si>
    <t>Página Funcionales MiniIoT ( Reportes , mapa e inventario)</t>
  </si>
  <si>
    <t>2026-01-16</t>
  </si>
  <si>
    <t>Página CRUD XTAM ALARM ( Crear abonados, botones, sirenas)</t>
  </si>
  <si>
    <t>2026-01-15</t>
  </si>
  <si>
    <t>2026-01-17</t>
  </si>
  <si>
    <t>Página CRUD SITIOS , XTAM VIDEO</t>
  </si>
  <si>
    <t>Páginas CRUD MiniIoT</t>
  </si>
  <si>
    <t>Dashboard Logs y Auditoría</t>
  </si>
  <si>
    <t>2026-01-20</t>
  </si>
  <si>
    <t>2026-01-21</t>
  </si>
  <si>
    <t>SQLLite</t>
  </si>
  <si>
    <t>Analiticas conteo de Personas metadata</t>
  </si>
  <si>
    <t>Analiticas conteo de vehiculos metadata</t>
  </si>
  <si>
    <t>Analiticas clasificación vehiculos metadata</t>
  </si>
  <si>
    <t>Analiticas detección de multitudes metadata</t>
  </si>
  <si>
    <t>Streaming por monitor (kiosko)</t>
  </si>
  <si>
    <t>Servicio Streaming 4 camaras</t>
  </si>
  <si>
    <t>Servicio Grabaciones 4 camaras</t>
  </si>
  <si>
    <t>Delete Grabaciones, Insert Grabaciones</t>
  </si>
  <si>
    <t>DVR Finder</t>
  </si>
  <si>
    <t>2026-01-07</t>
  </si>
  <si>
    <t>Watchdogs</t>
  </si>
  <si>
    <t>XTAM EDGE API (Sirena service proxy)</t>
  </si>
  <si>
    <t>2026-01-13</t>
  </si>
  <si>
    <t>XTAM sync configuracion( red, vpn zerotier, onvif)</t>
  </si>
  <si>
    <t>XTAM EDGE NOC ( telemetria by soft  mqtt )</t>
  </si>
  <si>
    <t>Hardening</t>
  </si>
  <si>
    <t>ONVIF</t>
  </si>
  <si>
    <t>Despliegue ambiente de pruebas</t>
  </si>
  <si>
    <t>Testing</t>
  </si>
  <si>
    <t>2026-01-23</t>
  </si>
  <si>
    <t>Documentación Final</t>
  </si>
  <si>
    <t>Despliegue ambiente de prod</t>
  </si>
  <si>
    <t>2026-01-26</t>
  </si>
  <si>
    <t>2026-01-27</t>
  </si>
  <si>
    <t>Testing produccion</t>
  </si>
  <si>
    <t>Capacitación</t>
  </si>
  <si>
    <t>Desarrollo de la sección 6</t>
  </si>
  <si>
    <t>2025-12-13</t>
  </si>
  <si>
    <t>Completado</t>
  </si>
  <si>
    <t>Desarrollo de la sección 10</t>
  </si>
  <si>
    <t>Desarrollo de la sección 12</t>
  </si>
  <si>
    <t>Desarrollo de sección de indices</t>
  </si>
  <si>
    <t>Desarrollo de sección de tablas</t>
  </si>
  <si>
    <t>Configuración y Seguridad</t>
  </si>
  <si>
    <t>Integración LLM</t>
  </si>
  <si>
    <t>Interfaz Web</t>
  </si>
  <si>
    <t>Manejo de Estados</t>
  </si>
  <si>
    <t>Procesamiento Documentos</t>
  </si>
  <si>
    <t>2026-01-03</t>
  </si>
  <si>
    <t>Configuración GLPI</t>
  </si>
  <si>
    <t>Configuración ManttoGuard</t>
  </si>
  <si>
    <t>Logs y Auditoría</t>
  </si>
  <si>
    <t>Pruebas de Sistema</t>
  </si>
  <si>
    <t>2026-01-11</t>
  </si>
  <si>
    <t>Pruebas Seguridad</t>
  </si>
  <si>
    <t>UAT</t>
  </si>
  <si>
    <t>Despliegue Producción</t>
  </si>
  <si>
    <t>Capacitación Usuarios</t>
  </si>
  <si>
    <t>Dashboard Balance Scorecard</t>
  </si>
  <si>
    <t>2026-01-24</t>
  </si>
  <si>
    <t>Servicio de notificaciones</t>
  </si>
  <si>
    <t>Integración OAuth/SSO</t>
  </si>
  <si>
    <t>2026-01-22</t>
  </si>
  <si>
    <t>Pruebas unitarias</t>
  </si>
  <si>
    <t>Pruebas integrales</t>
  </si>
  <si>
    <t>2026-01-25</t>
  </si>
  <si>
    <t>Pruebas de UI</t>
  </si>
  <si>
    <t>Configuración de servidores</t>
  </si>
  <si>
    <t>2026-01-28</t>
  </si>
  <si>
    <t>Montaje en producción</t>
  </si>
  <si>
    <t>Validación</t>
  </si>
  <si>
    <t>Documentación final</t>
  </si>
  <si>
    <t>2026-01-31</t>
  </si>
  <si>
    <t>Acta de cierre</t>
  </si>
  <si>
    <t>Lecciones aprendidas</t>
  </si>
  <si>
    <t>Actualizacion de Inventarios Bogota</t>
  </si>
  <si>
    <t>2025-12-12</t>
  </si>
  <si>
    <t>2025-12-14</t>
  </si>
  <si>
    <t xml:space="preserve">Informe Estructura Documental </t>
  </si>
  <si>
    <t>Agregar tabla de Disponibilidad y Fuentes de datos en informe final</t>
  </si>
  <si>
    <t>Cambio de gerente</t>
  </si>
  <si>
    <t>Modificar la linea base de proyecto(Incluye eliminacion de entregables)</t>
  </si>
  <si>
    <t>Proyeccion de facturacion Semanal</t>
  </si>
  <si>
    <t>Proyeccion de entregables/documentos Semanal</t>
  </si>
  <si>
    <t>Calculo de proyectos exitosos</t>
  </si>
  <si>
    <t>Desarrollo</t>
  </si>
  <si>
    <t>Pruebas</t>
  </si>
  <si>
    <t>Instalacion de nuevas camaras</t>
  </si>
  <si>
    <t>Kiosco (Panel)</t>
  </si>
  <si>
    <t>Enrolamiento</t>
  </si>
  <si>
    <t>Desarrollo de Perfiles</t>
  </si>
  <si>
    <t>Estado del sistema</t>
  </si>
  <si>
    <t>Integracion con MiniIOT</t>
  </si>
  <si>
    <t>Asociacion de XTAM VIDEO y SITIOS</t>
  </si>
  <si>
    <t>Estado de sistema de Routers</t>
  </si>
  <si>
    <t>Mapa</t>
  </si>
  <si>
    <t>Panel de alarmas y notificaciones</t>
  </si>
  <si>
    <t>2026-02-02</t>
  </si>
  <si>
    <t>Nivel_Riesgo</t>
  </si>
  <si>
    <t>Alto</t>
  </si>
  <si>
    <t>Medio</t>
  </si>
  <si>
    <t>Bajo</t>
  </si>
  <si>
    <t>Tarea_ID</t>
  </si>
  <si>
    <t>Tarea</t>
  </si>
  <si>
    <t>Start_Date</t>
  </si>
  <si>
    <t>End_Date</t>
  </si>
  <si>
    <t>Duration_Days</t>
  </si>
  <si>
    <t>Progress_%</t>
  </si>
  <si>
    <t>Color</t>
  </si>
  <si>
    <t>T1</t>
  </si>
  <si>
    <t>#e16162</t>
  </si>
  <si>
    <t>T2</t>
  </si>
  <si>
    <t>T3</t>
  </si>
  <si>
    <t>T4</t>
  </si>
  <si>
    <t>T5</t>
  </si>
  <si>
    <t>T6</t>
  </si>
  <si>
    <t>Metodos Funcionales Grabaciones(Bookmarks, insert,</t>
  </si>
  <si>
    <t>T7</t>
  </si>
  <si>
    <t>T8</t>
  </si>
  <si>
    <t>Metodos Cadena de Custodia (Snapchots,CRUD SPOA, P</t>
  </si>
  <si>
    <t>T9</t>
  </si>
  <si>
    <t>T10</t>
  </si>
  <si>
    <t>T11</t>
  </si>
  <si>
    <t>T12</t>
  </si>
  <si>
    <t>T13</t>
  </si>
  <si>
    <t>T14</t>
  </si>
  <si>
    <t>Mapas( XTAM VIDEO , SIRENAS, BOTONES,CAMARAS, Mini</t>
  </si>
  <si>
    <t>T15</t>
  </si>
  <si>
    <t xml:space="preserve">Metodos Servicios NOC (E.S,SMS Service, cambio de </t>
  </si>
  <si>
    <t>T16</t>
  </si>
  <si>
    <t>T17</t>
  </si>
  <si>
    <t>Página Funcionales Grabaciones(Bookmarks, cadena d</t>
  </si>
  <si>
    <t>T18</t>
  </si>
  <si>
    <t xml:space="preserve">Página Funcionales Streaming(Corte de video, logs </t>
  </si>
  <si>
    <t>T19</t>
  </si>
  <si>
    <t>T20</t>
  </si>
  <si>
    <t>T21</t>
  </si>
  <si>
    <t>T22</t>
  </si>
  <si>
    <t>Notificaciones y alarmas del sistema ( alarmas ana</t>
  </si>
  <si>
    <t>T23</t>
  </si>
  <si>
    <t>T24</t>
  </si>
  <si>
    <t xml:space="preserve">Dashboard NOC (E.S,SMS Service, cambio de escena, </t>
  </si>
  <si>
    <t>T25</t>
  </si>
  <si>
    <t>Página Funcionales MiniIoT ( Reportes , mapa e inv</t>
  </si>
  <si>
    <t>T26</t>
  </si>
  <si>
    <t xml:space="preserve">Página CRUD XTAM ALARM ( Crear abonados, botones, 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</si>
  <si>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</si>
  <si>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</si>
  <si>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</si>
  <si>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</si>
  <si>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</si>
  <si>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</si>
  <si>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</si>
  <si>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</si>
  <si>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</si>
  <si>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</si>
  <si>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</si>
  <si>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</si>
  <si>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</si>
  <si>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</si>
  <si>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</si>
  <si>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</si>
  <si>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</si>
  <si>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</si>
  <si>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</si>
  <si>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</si>
  <si>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</si>
  <si>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</si>
  <si>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</si>
  <si>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</si>
  <si>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</si>
  <si>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</si>
  <si>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#3498db</t>
  </si>
  <si>
    <t>T53</t>
  </si>
  <si>
    <t>T54</t>
  </si>
  <si>
    <t>T55</t>
  </si>
  <si>
    <t>T56</t>
  </si>
  <si>
    <t>T57</t>
  </si>
  <si>
    <t>T58</t>
  </si>
  <si>
    <t>#00d2ff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</si>
  <si>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</si>
  <si>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</si>
  <si>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</si>
  <si>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</si>
  <si>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</si>
  <si>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</si>
  <si>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</si>
  <si>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</si>
  <si>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</si>
  <si>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</si>
  <si>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</si>
  <si>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</si>
  <si>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</si>
  <si>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#9b59b6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</si>
  <si>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</si>
  <si>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</si>
  <si>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</si>
  <si>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</si>
  <si>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</si>
  <si>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</si>
  <si>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</si>
  <si>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</si>
  <si>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</si>
  <si>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</si>
  <si>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</si>
  <si>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</si>
  <si>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#f39c12</t>
  </si>
  <si>
    <t>T84</t>
  </si>
  <si>
    <t>T85</t>
  </si>
  <si>
    <t>Agregar tabla de Disponibilidad y Fuentes de datos</t>
  </si>
  <si>
    <t>T86</t>
  </si>
  <si>
    <t>T87</t>
  </si>
  <si>
    <t>Modificar la linea base de proyecto(Incluye elimin</t>
  </si>
  <si>
    <t>T88</t>
  </si>
  <si>
    <t>T89</t>
  </si>
  <si>
    <t>T90</t>
  </si>
  <si>
    <t>T91</t>
  </si>
  <si>
    <t>T92</t>
  </si>
  <si>
    <t>T93</t>
  </si>
  <si>
    <t>#e74c3c</t>
  </si>
  <si>
    <t>T94</t>
  </si>
  <si>
    <t>T95</t>
  </si>
  <si>
    <t>T96</t>
  </si>
  <si>
    <t>T97</t>
  </si>
  <si>
    <t>#ffa500</t>
  </si>
  <si>
    <t>T98</t>
  </si>
  <si>
    <t>#27ae60</t>
  </si>
  <si>
    <t>T99</t>
  </si>
  <si>
    <t>T100</t>
  </si>
  <si>
    <t>T101</t>
  </si>
  <si>
    <t>T102</t>
  </si>
  <si>
    <t>T103</t>
  </si>
  <si>
    <t>DATOS PARA VISUALIZACIONES</t>
  </si>
  <si>
    <t>Horas</t>
  </si>
  <si>
    <t>Porcentaje</t>
  </si>
  <si>
    <t>Sem 2</t>
  </si>
  <si>
    <t>Sem 3</t>
  </si>
  <si>
    <t>Sem 4</t>
  </si>
  <si>
    <t>Sem 1</t>
  </si>
  <si>
    <t>Juan David Sanchez</t>
  </si>
  <si>
    <t>total horas</t>
  </si>
  <si>
    <t>Total Horas</t>
  </si>
  <si>
    <t>Recurso con IA</t>
  </si>
  <si>
    <t>Recurso sin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</si>
</sst>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1A1A2E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sqref="A1:F1"/>
    </sheetView>
  </sheetViews>
  <sheetFormatPr baseColWidth="10" defaultColWidth="9.140625" defaultRowHeight="15" x14ac:dyDescent="0.25"/>
  <cols>
    <col min="1" max="6" width="20" customWidth="1"/>
  </cols>
  <sheetData>
    <row r="1" spans="1:6" ht="21" x14ac:dyDescent="0.35">
      <c r="A1" s="7" t="s">
        <v>0</v>
      </c>
      <c r="B1" s="8"/>
      <c r="C1" s="8"/>
      <c r="D1" s="8"/>
      <c r="E1" s="8"/>
      <c r="F1" s="8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t="s">
        <v>7</v>
      </c>
      <c r="B4">
        <v>8</v>
      </c>
      <c r="C4" t="s">
        <v>8</v>
      </c>
      <c r="D4" t="s">
        <v>9</v>
      </c>
      <c r="E4">
        <v>8</v>
      </c>
      <c r="F4" t="s">
        <v>10</v>
      </c>
    </row>
    <row r="5" spans="1:6" x14ac:dyDescent="0.25">
      <c r="A5" t="s">
        <v>11</v>
      </c>
      <c r="B5">
        <v>103</v>
      </c>
      <c r="C5" t="s">
        <v>12</v>
      </c>
      <c r="D5" t="s">
        <v>9</v>
      </c>
      <c r="E5">
        <v>100</v>
      </c>
      <c r="F5" t="s">
        <v>10</v>
      </c>
    </row>
    <row r="6" spans="1:6" x14ac:dyDescent="0.25">
      <c r="A6" t="s">
        <v>13</v>
      </c>
      <c r="B6">
        <v>2254</v>
      </c>
      <c r="C6" t="s">
        <v>14</v>
      </c>
      <c r="D6" t="s">
        <v>9</v>
      </c>
      <c r="E6">
        <v>2500</v>
      </c>
      <c r="F6" t="s">
        <v>15</v>
      </c>
    </row>
    <row r="7" spans="1:6" x14ac:dyDescent="0.25">
      <c r="A7" t="s">
        <v>16</v>
      </c>
      <c r="B7">
        <v>102.9</v>
      </c>
      <c r="C7" t="s">
        <v>17</v>
      </c>
      <c r="D7" t="s">
        <v>18</v>
      </c>
      <c r="E7">
        <v>100</v>
      </c>
      <c r="F7" t="s">
        <v>19</v>
      </c>
    </row>
    <row r="8" spans="1:6" x14ac:dyDescent="0.25">
      <c r="A8" t="s">
        <v>20</v>
      </c>
      <c r="B8">
        <v>4</v>
      </c>
      <c r="C8" t="s">
        <v>21</v>
      </c>
      <c r="D8" t="s">
        <v>22</v>
      </c>
      <c r="E8">
        <v>0</v>
      </c>
      <c r="F8" t="s">
        <v>10</v>
      </c>
    </row>
    <row r="9" spans="1:6" x14ac:dyDescent="0.25">
      <c r="A9" t="s">
        <v>23</v>
      </c>
      <c r="B9">
        <v>-7.1</v>
      </c>
      <c r="C9" t="s">
        <v>24</v>
      </c>
      <c r="D9" t="s">
        <v>18</v>
      </c>
      <c r="E9">
        <v>0</v>
      </c>
      <c r="F9" t="s">
        <v>25</v>
      </c>
    </row>
    <row r="10" spans="1:6" x14ac:dyDescent="0.25">
      <c r="A10" t="s">
        <v>26</v>
      </c>
      <c r="B10">
        <v>11.3</v>
      </c>
      <c r="C10" t="s">
        <v>24</v>
      </c>
      <c r="D10" t="s">
        <v>27</v>
      </c>
      <c r="E10">
        <v>10</v>
      </c>
      <c r="F10" t="s">
        <v>25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workbookViewId="0">
      <selection activeCell="E20" sqref="E20"/>
    </sheetView>
  </sheetViews>
  <sheetFormatPr baseColWidth="10" defaultColWidth="9.140625" defaultRowHeight="15" x14ac:dyDescent="0.25"/>
  <cols>
    <col min="1" max="11" width="16" customWidth="1"/>
  </cols>
  <sheetData>
    <row r="1" spans="1:11" x14ac:dyDescent="0.25">
      <c r="A1" s="1" t="s">
        <v>59</v>
      </c>
      <c r="B1" s="1" t="s">
        <v>33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4</v>
      </c>
      <c r="K1" s="1" t="s">
        <v>67</v>
      </c>
    </row>
    <row r="2" spans="1:11" x14ac:dyDescent="0.25">
      <c r="A2" t="s">
        <v>68</v>
      </c>
      <c r="B2">
        <v>1</v>
      </c>
      <c r="C2">
        <v>1</v>
      </c>
      <c r="D2">
        <v>387</v>
      </c>
      <c r="E2">
        <v>276</v>
      </c>
      <c r="F2">
        <v>140.21739130434781</v>
      </c>
      <c r="G2">
        <v>111</v>
      </c>
      <c r="H2">
        <v>0</v>
      </c>
      <c r="I2">
        <v>0</v>
      </c>
      <c r="J2" t="s">
        <v>69</v>
      </c>
      <c r="K2" t="s">
        <v>70</v>
      </c>
    </row>
    <row r="3" spans="1:11" x14ac:dyDescent="0.25">
      <c r="A3" t="s">
        <v>71</v>
      </c>
      <c r="B3">
        <v>16</v>
      </c>
      <c r="C3">
        <v>3</v>
      </c>
      <c r="D3">
        <v>234</v>
      </c>
      <c r="E3">
        <v>215</v>
      </c>
      <c r="F3">
        <v>108.8372093023256</v>
      </c>
      <c r="G3">
        <v>19</v>
      </c>
      <c r="H3">
        <v>0</v>
      </c>
      <c r="I3">
        <v>2</v>
      </c>
      <c r="J3" t="s">
        <v>72</v>
      </c>
      <c r="K3" t="s">
        <v>73</v>
      </c>
    </row>
    <row r="4" spans="1:11" x14ac:dyDescent="0.25">
      <c r="A4" t="s">
        <v>74</v>
      </c>
      <c r="B4">
        <v>22</v>
      </c>
      <c r="C4">
        <v>1</v>
      </c>
      <c r="D4">
        <v>360</v>
      </c>
      <c r="E4">
        <v>332</v>
      </c>
      <c r="F4">
        <v>108.43373493975901</v>
      </c>
      <c r="G4">
        <v>28</v>
      </c>
      <c r="H4">
        <v>0</v>
      </c>
      <c r="I4">
        <v>4</v>
      </c>
      <c r="J4" t="s">
        <v>72</v>
      </c>
      <c r="K4" t="s">
        <v>73</v>
      </c>
    </row>
    <row r="5" spans="1:11" x14ac:dyDescent="0.25">
      <c r="A5" t="s">
        <v>75</v>
      </c>
      <c r="B5">
        <v>15</v>
      </c>
      <c r="C5">
        <v>3</v>
      </c>
      <c r="D5">
        <v>360</v>
      </c>
      <c r="E5">
        <v>353</v>
      </c>
      <c r="F5">
        <v>101.9830028328612</v>
      </c>
      <c r="G5">
        <v>7</v>
      </c>
      <c r="H5">
        <v>0</v>
      </c>
      <c r="I5">
        <v>6</v>
      </c>
      <c r="J5" t="s">
        <v>72</v>
      </c>
      <c r="K5" t="s">
        <v>73</v>
      </c>
    </row>
    <row r="6" spans="1:11" x14ac:dyDescent="0.25">
      <c r="A6" t="s">
        <v>79</v>
      </c>
      <c r="B6">
        <v>6</v>
      </c>
      <c r="C6">
        <v>3</v>
      </c>
      <c r="D6">
        <v>180</v>
      </c>
      <c r="E6">
        <v>180</v>
      </c>
      <c r="F6">
        <v>100</v>
      </c>
      <c r="G6">
        <v>0</v>
      </c>
      <c r="H6">
        <v>0</v>
      </c>
      <c r="I6">
        <v>0</v>
      </c>
      <c r="J6" t="s">
        <v>77</v>
      </c>
      <c r="K6" t="s">
        <v>78</v>
      </c>
    </row>
    <row r="7" spans="1:11" x14ac:dyDescent="0.25">
      <c r="A7" t="s">
        <v>81</v>
      </c>
      <c r="B7">
        <v>12</v>
      </c>
      <c r="C7">
        <v>5</v>
      </c>
      <c r="D7">
        <v>243</v>
      </c>
      <c r="E7">
        <v>258</v>
      </c>
      <c r="F7">
        <v>94.186046511627922</v>
      </c>
      <c r="G7">
        <v>0</v>
      </c>
      <c r="H7">
        <v>15</v>
      </c>
      <c r="I7">
        <v>4</v>
      </c>
      <c r="J7" t="s">
        <v>77</v>
      </c>
      <c r="K7" t="s">
        <v>78</v>
      </c>
    </row>
    <row r="8" spans="1:11" x14ac:dyDescent="0.25">
      <c r="A8" t="s">
        <v>82</v>
      </c>
      <c r="B8">
        <v>21</v>
      </c>
      <c r="C8">
        <v>5</v>
      </c>
      <c r="D8">
        <v>382.5</v>
      </c>
      <c r="E8">
        <v>438</v>
      </c>
      <c r="F8">
        <v>87.328767123287676</v>
      </c>
      <c r="G8">
        <v>0</v>
      </c>
      <c r="H8">
        <v>55.5</v>
      </c>
      <c r="I8">
        <v>7</v>
      </c>
      <c r="J8" t="s">
        <v>77</v>
      </c>
      <c r="K8" t="s">
        <v>78</v>
      </c>
    </row>
    <row r="9" spans="1:11" x14ac:dyDescent="0.25">
      <c r="A9" t="s">
        <v>83</v>
      </c>
      <c r="B9">
        <v>8</v>
      </c>
      <c r="C9">
        <v>4</v>
      </c>
      <c r="D9">
        <v>90</v>
      </c>
      <c r="E9">
        <v>121</v>
      </c>
      <c r="F9">
        <v>74.380165289256198</v>
      </c>
      <c r="G9">
        <v>0</v>
      </c>
      <c r="H9">
        <v>31</v>
      </c>
      <c r="I9">
        <v>2</v>
      </c>
      <c r="J9" t="s">
        <v>84</v>
      </c>
      <c r="K9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selection activeCell="J10" sqref="J10"/>
    </sheetView>
  </sheetViews>
  <sheetFormatPr baseColWidth="10" defaultColWidth="9.140625" defaultRowHeight="15" x14ac:dyDescent="0.25"/>
  <cols>
    <col min="1" max="10" width="18" customWidth="1"/>
  </cols>
  <sheetData>
    <row r="1" spans="1:10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13</v>
      </c>
      <c r="H1" s="1" t="s">
        <v>34</v>
      </c>
      <c r="I1" s="1" t="s">
        <v>4</v>
      </c>
      <c r="J1" s="1" t="s">
        <v>35</v>
      </c>
    </row>
    <row r="2" spans="1:10" x14ac:dyDescent="0.25">
      <c r="A2" t="s">
        <v>36</v>
      </c>
      <c r="B2" t="s">
        <v>37</v>
      </c>
      <c r="C2" t="s">
        <v>38</v>
      </c>
      <c r="D2" t="s">
        <v>38</v>
      </c>
      <c r="E2">
        <v>46</v>
      </c>
      <c r="F2">
        <v>51</v>
      </c>
      <c r="G2">
        <v>855</v>
      </c>
      <c r="H2">
        <v>7</v>
      </c>
      <c r="I2" t="s">
        <v>48</v>
      </c>
      <c r="J2" t="s">
        <v>40</v>
      </c>
    </row>
    <row r="3" spans="1:10" x14ac:dyDescent="0.25">
      <c r="A3" t="s">
        <v>41</v>
      </c>
      <c r="B3" t="s">
        <v>42</v>
      </c>
      <c r="C3" t="s">
        <v>43</v>
      </c>
      <c r="D3" t="s">
        <v>43</v>
      </c>
      <c r="E3">
        <v>43</v>
      </c>
      <c r="F3">
        <v>1</v>
      </c>
      <c r="G3">
        <v>387</v>
      </c>
      <c r="H3">
        <v>1</v>
      </c>
      <c r="I3" t="s">
        <v>39</v>
      </c>
      <c r="J3" t="s">
        <v>51</v>
      </c>
    </row>
    <row r="4" spans="1:10" x14ac:dyDescent="0.25">
      <c r="A4" t="s">
        <v>45</v>
      </c>
      <c r="B4" t="s">
        <v>46</v>
      </c>
      <c r="C4" t="s">
        <v>47</v>
      </c>
      <c r="D4" t="s">
        <v>47</v>
      </c>
      <c r="E4">
        <v>35</v>
      </c>
      <c r="F4">
        <v>13</v>
      </c>
      <c r="G4">
        <v>279</v>
      </c>
      <c r="H4">
        <v>4</v>
      </c>
      <c r="I4" t="s">
        <v>48</v>
      </c>
      <c r="J4" t="s">
        <v>40</v>
      </c>
    </row>
    <row r="5" spans="1:10" x14ac:dyDescent="0.25">
      <c r="A5" t="s">
        <v>49</v>
      </c>
      <c r="B5" t="s">
        <v>50</v>
      </c>
      <c r="C5" t="s">
        <v>43</v>
      </c>
      <c r="D5" t="s">
        <v>43</v>
      </c>
      <c r="E5">
        <v>12</v>
      </c>
      <c r="F5">
        <v>12</v>
      </c>
      <c r="G5">
        <v>198</v>
      </c>
      <c r="H5">
        <v>4</v>
      </c>
      <c r="I5" t="s">
        <v>48</v>
      </c>
      <c r="J5" t="s">
        <v>44</v>
      </c>
    </row>
    <row r="6" spans="1:10" x14ac:dyDescent="0.25">
      <c r="A6" t="s">
        <v>52</v>
      </c>
      <c r="B6" t="s">
        <v>53</v>
      </c>
      <c r="C6" t="s">
        <v>43</v>
      </c>
      <c r="D6" t="s">
        <v>43</v>
      </c>
      <c r="E6">
        <v>26</v>
      </c>
      <c r="F6">
        <v>6</v>
      </c>
      <c r="G6">
        <v>198</v>
      </c>
      <c r="H6">
        <v>4</v>
      </c>
      <c r="I6" t="s">
        <v>39</v>
      </c>
      <c r="J6" t="s">
        <v>51</v>
      </c>
    </row>
    <row r="7" spans="1:10" x14ac:dyDescent="0.25">
      <c r="A7" t="s">
        <v>54</v>
      </c>
      <c r="B7" t="s">
        <v>46</v>
      </c>
      <c r="C7" t="s">
        <v>42</v>
      </c>
      <c r="D7" t="s">
        <v>42</v>
      </c>
      <c r="E7">
        <v>9</v>
      </c>
      <c r="F7">
        <v>10</v>
      </c>
      <c r="G7">
        <v>157.5</v>
      </c>
      <c r="H7">
        <v>2</v>
      </c>
      <c r="I7" t="s">
        <v>48</v>
      </c>
      <c r="J7" t="s">
        <v>44</v>
      </c>
    </row>
    <row r="8" spans="1:10" x14ac:dyDescent="0.25">
      <c r="A8" t="s">
        <v>55</v>
      </c>
      <c r="B8" t="s">
        <v>56</v>
      </c>
      <c r="C8" t="s">
        <v>57</v>
      </c>
      <c r="D8" t="s">
        <v>57</v>
      </c>
      <c r="E8">
        <v>20</v>
      </c>
      <c r="F8">
        <v>4</v>
      </c>
      <c r="G8">
        <v>90</v>
      </c>
      <c r="H8">
        <v>3</v>
      </c>
      <c r="I8" t="s">
        <v>48</v>
      </c>
      <c r="J8" t="s">
        <v>51</v>
      </c>
    </row>
    <row r="9" spans="1:10" x14ac:dyDescent="0.25">
      <c r="A9" t="s">
        <v>58</v>
      </c>
      <c r="B9" t="s">
        <v>46</v>
      </c>
      <c r="C9" s="4">
        <v>46013</v>
      </c>
      <c r="D9" s="4">
        <v>46013</v>
      </c>
      <c r="E9">
        <v>8</v>
      </c>
      <c r="F9">
        <v>6</v>
      </c>
      <c r="G9">
        <v>90</v>
      </c>
      <c r="H9">
        <v>2</v>
      </c>
      <c r="I9" t="s">
        <v>48</v>
      </c>
      <c r="J9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026F-294B-4AEA-8E08-449915C9D86F}">
  <dimension ref="A1:S11"/>
  <sheetViews>
    <sheetView tabSelected="1" workbookViewId="0">
      <selection activeCell="S18" sqref="K18:S24"/>
    </sheetView>
  </sheetViews>
  <sheetFormatPr baseColWidth="10" defaultRowHeight="15" x14ac:dyDescent="0.25"/>
  <cols>
    <col min="1" max="1" width="32.42578125" bestFit="1" customWidth="1"/>
    <col min="2" max="8" width="0" hidden="1" customWidth="1"/>
    <col min="11" max="11" width="30.7109375" customWidth="1"/>
    <col min="12" max="18" width="0" hidden="1" customWidth="1"/>
  </cols>
  <sheetData>
    <row r="1" spans="1:19" x14ac:dyDescent="0.25">
      <c r="A1" s="5" t="s">
        <v>375</v>
      </c>
      <c r="B1" s="5" t="s">
        <v>368</v>
      </c>
      <c r="C1" s="5" t="s">
        <v>369</v>
      </c>
      <c r="D1" s="5" t="s">
        <v>370</v>
      </c>
      <c r="E1" s="5" t="s">
        <v>371</v>
      </c>
      <c r="F1" s="5" t="s">
        <v>368</v>
      </c>
      <c r="G1" s="5" t="s">
        <v>369</v>
      </c>
      <c r="H1" s="5" t="s">
        <v>370</v>
      </c>
      <c r="I1" s="5" t="s">
        <v>374</v>
      </c>
      <c r="J1" s="5"/>
      <c r="K1" s="5" t="s">
        <v>376</v>
      </c>
      <c r="L1" s="5" t="s">
        <v>368</v>
      </c>
      <c r="M1" s="5" t="s">
        <v>369</v>
      </c>
      <c r="N1" s="5" t="s">
        <v>370</v>
      </c>
      <c r="O1" s="5" t="s">
        <v>371</v>
      </c>
      <c r="P1" s="5" t="s">
        <v>368</v>
      </c>
      <c r="Q1" s="5" t="s">
        <v>369</v>
      </c>
      <c r="R1" s="5" t="s">
        <v>370</v>
      </c>
      <c r="S1" s="5" t="s">
        <v>374</v>
      </c>
    </row>
    <row r="2" spans="1:19" x14ac:dyDescent="0.25">
      <c r="A2" t="s">
        <v>75</v>
      </c>
      <c r="B2">
        <v>60</v>
      </c>
      <c r="C2">
        <v>50</v>
      </c>
      <c r="D2">
        <v>50</v>
      </c>
      <c r="E2">
        <v>50</v>
      </c>
      <c r="F2">
        <v>60</v>
      </c>
      <c r="G2">
        <v>60</v>
      </c>
      <c r="H2">
        <v>60</v>
      </c>
      <c r="I2" s="5">
        <f t="shared" ref="I2:I8" si="0">SUM(B2:H2)</f>
        <v>390</v>
      </c>
      <c r="K2" t="s">
        <v>75</v>
      </c>
      <c r="L2">
        <v>40</v>
      </c>
      <c r="M2">
        <v>32</v>
      </c>
      <c r="N2">
        <v>32</v>
      </c>
      <c r="O2">
        <v>32</v>
      </c>
      <c r="P2">
        <v>40</v>
      </c>
      <c r="Q2">
        <v>40</v>
      </c>
      <c r="R2">
        <v>40</v>
      </c>
      <c r="S2" s="5">
        <f t="shared" ref="S2:S8" si="1">SUM(L2:R2)</f>
        <v>256</v>
      </c>
    </row>
    <row r="3" spans="1:19" x14ac:dyDescent="0.25">
      <c r="A3" t="s">
        <v>71</v>
      </c>
      <c r="B3">
        <v>60</v>
      </c>
      <c r="C3">
        <v>50</v>
      </c>
      <c r="D3">
        <v>0</v>
      </c>
      <c r="E3">
        <v>0</v>
      </c>
      <c r="F3">
        <v>0</v>
      </c>
      <c r="G3">
        <v>60</v>
      </c>
      <c r="H3">
        <v>60</v>
      </c>
      <c r="I3" s="5">
        <f t="shared" si="0"/>
        <v>230</v>
      </c>
      <c r="K3" t="s">
        <v>71</v>
      </c>
      <c r="L3">
        <v>40</v>
      </c>
      <c r="M3">
        <v>32</v>
      </c>
      <c r="N3">
        <v>0</v>
      </c>
      <c r="O3">
        <v>0</v>
      </c>
      <c r="P3">
        <v>0</v>
      </c>
      <c r="Q3">
        <v>40</v>
      </c>
      <c r="R3">
        <v>40</v>
      </c>
      <c r="S3" s="5">
        <f t="shared" si="1"/>
        <v>152</v>
      </c>
    </row>
    <row r="4" spans="1:19" x14ac:dyDescent="0.25">
      <c r="A4" t="s">
        <v>74</v>
      </c>
      <c r="B4">
        <v>60</v>
      </c>
      <c r="C4">
        <v>50</v>
      </c>
      <c r="D4">
        <v>50</v>
      </c>
      <c r="E4">
        <v>50</v>
      </c>
      <c r="F4">
        <v>60</v>
      </c>
      <c r="G4">
        <v>60</v>
      </c>
      <c r="H4">
        <v>60</v>
      </c>
      <c r="I4" s="5">
        <f t="shared" si="0"/>
        <v>390</v>
      </c>
      <c r="K4" t="s">
        <v>74</v>
      </c>
      <c r="L4">
        <v>40</v>
      </c>
      <c r="M4">
        <v>32</v>
      </c>
      <c r="N4">
        <v>32</v>
      </c>
      <c r="O4">
        <v>32</v>
      </c>
      <c r="P4">
        <v>40</v>
      </c>
      <c r="Q4">
        <v>40</v>
      </c>
      <c r="R4">
        <v>40</v>
      </c>
      <c r="S4" s="5">
        <f t="shared" si="1"/>
        <v>256</v>
      </c>
    </row>
    <row r="5" spans="1:19" x14ac:dyDescent="0.25">
      <c r="A5" t="s">
        <v>79</v>
      </c>
      <c r="B5">
        <v>60</v>
      </c>
      <c r="C5">
        <v>50</v>
      </c>
      <c r="D5">
        <v>50</v>
      </c>
      <c r="E5">
        <v>50</v>
      </c>
      <c r="F5">
        <v>60</v>
      </c>
      <c r="G5">
        <v>60</v>
      </c>
      <c r="H5">
        <v>60</v>
      </c>
      <c r="I5" s="5">
        <f t="shared" si="0"/>
        <v>390</v>
      </c>
      <c r="K5" t="s">
        <v>79</v>
      </c>
      <c r="L5">
        <v>40</v>
      </c>
      <c r="M5">
        <v>32</v>
      </c>
      <c r="N5">
        <v>32</v>
      </c>
      <c r="O5">
        <v>32</v>
      </c>
      <c r="P5">
        <v>40</v>
      </c>
      <c r="Q5">
        <v>40</v>
      </c>
      <c r="R5">
        <v>40</v>
      </c>
      <c r="S5" s="5">
        <f t="shared" si="1"/>
        <v>256</v>
      </c>
    </row>
    <row r="6" spans="1:19" x14ac:dyDescent="0.25">
      <c r="A6" t="s">
        <v>372</v>
      </c>
      <c r="B6">
        <v>60</v>
      </c>
      <c r="C6">
        <v>50</v>
      </c>
      <c r="D6">
        <v>50</v>
      </c>
      <c r="E6">
        <v>50</v>
      </c>
      <c r="F6">
        <v>60</v>
      </c>
      <c r="G6">
        <v>60</v>
      </c>
      <c r="H6">
        <v>60</v>
      </c>
      <c r="I6" s="5">
        <f t="shared" si="0"/>
        <v>390</v>
      </c>
      <c r="K6" t="s">
        <v>372</v>
      </c>
      <c r="L6">
        <v>40</v>
      </c>
      <c r="M6">
        <v>32</v>
      </c>
      <c r="N6">
        <v>32</v>
      </c>
      <c r="O6">
        <v>32</v>
      </c>
      <c r="P6">
        <v>40</v>
      </c>
      <c r="Q6">
        <v>40</v>
      </c>
      <c r="R6">
        <v>40</v>
      </c>
      <c r="S6" s="5">
        <f t="shared" si="1"/>
        <v>256</v>
      </c>
    </row>
    <row r="7" spans="1:19" x14ac:dyDescent="0.25">
      <c r="A7" t="s">
        <v>81</v>
      </c>
      <c r="B7">
        <v>30</v>
      </c>
      <c r="C7">
        <v>30</v>
      </c>
      <c r="D7">
        <v>30</v>
      </c>
      <c r="E7">
        <v>30</v>
      </c>
      <c r="F7">
        <v>30</v>
      </c>
      <c r="G7">
        <v>30</v>
      </c>
      <c r="H7">
        <v>30</v>
      </c>
      <c r="I7" s="5">
        <f t="shared" si="0"/>
        <v>210</v>
      </c>
      <c r="K7" t="s">
        <v>81</v>
      </c>
      <c r="L7">
        <v>20</v>
      </c>
      <c r="M7">
        <v>20</v>
      </c>
      <c r="N7">
        <v>20</v>
      </c>
      <c r="O7">
        <v>20</v>
      </c>
      <c r="P7">
        <v>20</v>
      </c>
      <c r="Q7">
        <v>20</v>
      </c>
      <c r="R7">
        <v>20</v>
      </c>
      <c r="S7" s="5">
        <f t="shared" si="1"/>
        <v>140</v>
      </c>
    </row>
    <row r="8" spans="1:19" x14ac:dyDescent="0.25">
      <c r="A8" t="s">
        <v>82</v>
      </c>
      <c r="B8">
        <v>60</v>
      </c>
      <c r="C8">
        <v>0</v>
      </c>
      <c r="D8">
        <v>50</v>
      </c>
      <c r="E8">
        <v>50</v>
      </c>
      <c r="F8">
        <v>60</v>
      </c>
      <c r="G8">
        <v>0</v>
      </c>
      <c r="H8">
        <v>0</v>
      </c>
      <c r="I8" s="5">
        <f t="shared" si="0"/>
        <v>220</v>
      </c>
      <c r="K8" t="s">
        <v>82</v>
      </c>
      <c r="L8">
        <v>40</v>
      </c>
      <c r="M8">
        <v>0</v>
      </c>
      <c r="N8">
        <v>32</v>
      </c>
      <c r="O8">
        <v>32</v>
      </c>
      <c r="P8">
        <v>40</v>
      </c>
      <c r="Q8">
        <v>0</v>
      </c>
      <c r="R8">
        <v>0</v>
      </c>
      <c r="S8" s="5">
        <f t="shared" si="1"/>
        <v>144</v>
      </c>
    </row>
    <row r="9" spans="1:19" x14ac:dyDescent="0.25">
      <c r="A9" t="s">
        <v>373</v>
      </c>
      <c r="B9">
        <f>SUM(B2:B8)</f>
        <v>390</v>
      </c>
      <c r="C9">
        <f t="shared" ref="C9:H9" si="2">SUM(C2:C8)</f>
        <v>280</v>
      </c>
      <c r="D9">
        <f t="shared" si="2"/>
        <v>280</v>
      </c>
      <c r="E9">
        <f t="shared" si="2"/>
        <v>280</v>
      </c>
      <c r="F9">
        <f t="shared" si="2"/>
        <v>330</v>
      </c>
      <c r="G9">
        <f t="shared" si="2"/>
        <v>330</v>
      </c>
      <c r="H9">
        <f t="shared" si="2"/>
        <v>330</v>
      </c>
      <c r="I9" s="5">
        <f>SUM(B9:H9)</f>
        <v>2220</v>
      </c>
      <c r="J9" s="5"/>
      <c r="K9" t="s">
        <v>373</v>
      </c>
      <c r="L9">
        <f>SUM(L2:L8)</f>
        <v>260</v>
      </c>
      <c r="M9">
        <f t="shared" ref="M9" si="3">SUM(M2:M8)</f>
        <v>180</v>
      </c>
      <c r="N9">
        <f t="shared" ref="N9" si="4">SUM(N2:N8)</f>
        <v>180</v>
      </c>
      <c r="O9">
        <f t="shared" ref="O9" si="5">SUM(O2:O8)</f>
        <v>180</v>
      </c>
      <c r="P9">
        <f t="shared" ref="P9" si="6">SUM(P2:P8)</f>
        <v>220</v>
      </c>
      <c r="Q9">
        <f t="shared" ref="Q9" si="7">SUM(Q2:Q8)</f>
        <v>220</v>
      </c>
      <c r="R9">
        <f t="shared" ref="R9" si="8">SUM(R2:R8)</f>
        <v>220</v>
      </c>
      <c r="S9" s="5">
        <f>SUM(L9:R9)</f>
        <v>1460</v>
      </c>
    </row>
    <row r="11" spans="1:19" x14ac:dyDescent="0.25">
      <c r="K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>
      <selection activeCell="G19" sqref="G19"/>
    </sheetView>
  </sheetViews>
  <sheetFormatPr baseColWidth="10" defaultColWidth="9.140625" defaultRowHeight="15" x14ac:dyDescent="0.25"/>
  <cols>
    <col min="1" max="12" width="18" customWidth="1"/>
  </cols>
  <sheetData>
    <row r="1" spans="1:12" x14ac:dyDescent="0.25">
      <c r="A1" s="1" t="s">
        <v>28</v>
      </c>
      <c r="B1" s="1" t="s">
        <v>75</v>
      </c>
      <c r="C1" s="1" t="s">
        <v>79</v>
      </c>
      <c r="D1" s="1" t="s">
        <v>81</v>
      </c>
      <c r="E1" s="1" t="s">
        <v>74</v>
      </c>
      <c r="F1" s="1" t="s">
        <v>82</v>
      </c>
      <c r="G1" s="1" t="s">
        <v>71</v>
      </c>
      <c r="H1" s="1" t="s">
        <v>68</v>
      </c>
      <c r="I1" s="1" t="s">
        <v>83</v>
      </c>
      <c r="J1" s="1" t="s">
        <v>80</v>
      </c>
      <c r="K1" s="1" t="s">
        <v>76</v>
      </c>
      <c r="L1" s="1" t="s">
        <v>86</v>
      </c>
    </row>
    <row r="2" spans="1:12" x14ac:dyDescent="0.25">
      <c r="A2" t="s">
        <v>49</v>
      </c>
      <c r="B2">
        <v>0</v>
      </c>
      <c r="C2">
        <v>0</v>
      </c>
      <c r="D2">
        <v>63</v>
      </c>
      <c r="E2">
        <v>0</v>
      </c>
      <c r="F2">
        <v>18</v>
      </c>
      <c r="G2">
        <v>90</v>
      </c>
      <c r="H2">
        <v>0</v>
      </c>
      <c r="I2">
        <v>27</v>
      </c>
      <c r="J2">
        <v>0</v>
      </c>
      <c r="K2">
        <v>0</v>
      </c>
      <c r="L2">
        <v>198</v>
      </c>
    </row>
    <row r="3" spans="1:12" x14ac:dyDescent="0.25">
      <c r="A3" t="s">
        <v>45</v>
      </c>
      <c r="B3">
        <v>0</v>
      </c>
      <c r="C3">
        <v>0</v>
      </c>
      <c r="D3">
        <v>63</v>
      </c>
      <c r="E3">
        <v>0</v>
      </c>
      <c r="F3">
        <v>153</v>
      </c>
      <c r="G3">
        <v>36</v>
      </c>
      <c r="H3">
        <v>0</v>
      </c>
      <c r="I3">
        <v>27</v>
      </c>
      <c r="J3">
        <v>0</v>
      </c>
      <c r="K3">
        <v>0</v>
      </c>
      <c r="L3">
        <v>279</v>
      </c>
    </row>
    <row r="4" spans="1:12" x14ac:dyDescent="0.25">
      <c r="A4" t="s">
        <v>55</v>
      </c>
      <c r="B4">
        <v>0</v>
      </c>
      <c r="C4">
        <v>0</v>
      </c>
      <c r="D4">
        <v>72</v>
      </c>
      <c r="E4">
        <v>0</v>
      </c>
      <c r="F4">
        <v>0</v>
      </c>
      <c r="G4">
        <v>0</v>
      </c>
      <c r="H4">
        <v>0</v>
      </c>
      <c r="I4">
        <v>0</v>
      </c>
      <c r="J4">
        <v>9</v>
      </c>
      <c r="K4">
        <v>9</v>
      </c>
      <c r="L4">
        <v>90</v>
      </c>
    </row>
    <row r="5" spans="1:12" x14ac:dyDescent="0.25">
      <c r="A5" t="s">
        <v>58</v>
      </c>
      <c r="B5">
        <v>0</v>
      </c>
      <c r="C5">
        <v>27</v>
      </c>
      <c r="D5">
        <v>0</v>
      </c>
      <c r="E5">
        <v>0</v>
      </c>
      <c r="F5">
        <v>63</v>
      </c>
      <c r="G5">
        <v>0</v>
      </c>
      <c r="H5">
        <v>0</v>
      </c>
      <c r="I5">
        <v>0</v>
      </c>
      <c r="J5">
        <v>0</v>
      </c>
      <c r="K5">
        <v>0</v>
      </c>
      <c r="L5">
        <v>90</v>
      </c>
    </row>
    <row r="6" spans="1:12" x14ac:dyDescent="0.25">
      <c r="A6" t="s">
        <v>41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387</v>
      </c>
      <c r="I6">
        <v>0</v>
      </c>
      <c r="J6">
        <v>0</v>
      </c>
      <c r="K6">
        <v>0</v>
      </c>
      <c r="L6">
        <v>387</v>
      </c>
    </row>
    <row r="7" spans="1:12" x14ac:dyDescent="0.25">
      <c r="A7" t="s">
        <v>54</v>
      </c>
      <c r="B7">
        <v>27</v>
      </c>
      <c r="C7">
        <v>0</v>
      </c>
      <c r="D7">
        <v>0</v>
      </c>
      <c r="E7">
        <v>0</v>
      </c>
      <c r="F7">
        <v>130.5</v>
      </c>
      <c r="G7">
        <v>0</v>
      </c>
      <c r="H7">
        <v>0</v>
      </c>
      <c r="I7">
        <v>0</v>
      </c>
      <c r="J7">
        <v>0</v>
      </c>
      <c r="K7">
        <v>0</v>
      </c>
      <c r="L7">
        <v>157.5</v>
      </c>
    </row>
    <row r="8" spans="1:12" x14ac:dyDescent="0.25">
      <c r="A8" t="s">
        <v>52</v>
      </c>
      <c r="B8">
        <v>45</v>
      </c>
      <c r="C8">
        <v>117</v>
      </c>
      <c r="D8">
        <v>18</v>
      </c>
      <c r="E8">
        <v>0</v>
      </c>
      <c r="F8">
        <v>0</v>
      </c>
      <c r="G8">
        <v>0</v>
      </c>
      <c r="H8">
        <v>0</v>
      </c>
      <c r="I8">
        <v>18</v>
      </c>
      <c r="J8">
        <v>0</v>
      </c>
      <c r="K8">
        <v>0</v>
      </c>
      <c r="L8">
        <v>198</v>
      </c>
    </row>
    <row r="9" spans="1:12" x14ac:dyDescent="0.25">
      <c r="A9" t="s">
        <v>36</v>
      </c>
      <c r="B9">
        <v>288</v>
      </c>
      <c r="C9">
        <v>36</v>
      </c>
      <c r="D9">
        <v>27</v>
      </c>
      <c r="E9">
        <v>360</v>
      </c>
      <c r="F9">
        <v>18</v>
      </c>
      <c r="G9">
        <v>108</v>
      </c>
      <c r="H9">
        <v>0</v>
      </c>
      <c r="I9">
        <v>18</v>
      </c>
      <c r="J9">
        <v>0</v>
      </c>
      <c r="K9">
        <v>0</v>
      </c>
      <c r="L9">
        <v>855</v>
      </c>
    </row>
    <row r="10" spans="1:12" x14ac:dyDescent="0.25">
      <c r="A10" s="2" t="s">
        <v>87</v>
      </c>
      <c r="B10" s="2">
        <v>360</v>
      </c>
      <c r="C10" s="2">
        <v>180</v>
      </c>
      <c r="D10" s="2">
        <v>243</v>
      </c>
      <c r="E10" s="2">
        <v>360</v>
      </c>
      <c r="F10" s="2">
        <v>382.5</v>
      </c>
      <c r="G10" s="2">
        <v>234</v>
      </c>
      <c r="H10" s="2">
        <v>387</v>
      </c>
      <c r="I10" s="2">
        <v>90</v>
      </c>
      <c r="J10" s="2">
        <v>9</v>
      </c>
      <c r="K10" s="2">
        <v>9</v>
      </c>
      <c r="L10" s="2">
        <v>2254.5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4"/>
  <sheetViews>
    <sheetView workbookViewId="0"/>
  </sheetViews>
  <sheetFormatPr baseColWidth="10" defaultColWidth="9.140625" defaultRowHeight="15" x14ac:dyDescent="0.25"/>
  <cols>
    <col min="1" max="11" width="20" customWidth="1"/>
  </cols>
  <sheetData>
    <row r="1" spans="1:11" x14ac:dyDescent="0.25">
      <c r="A1" s="1" t="s">
        <v>88</v>
      </c>
      <c r="B1" s="1" t="s">
        <v>28</v>
      </c>
      <c r="C1" s="1" t="s">
        <v>89</v>
      </c>
      <c r="D1" s="1" t="s">
        <v>90</v>
      </c>
      <c r="E1" s="1" t="s">
        <v>91</v>
      </c>
      <c r="F1" s="1" t="s">
        <v>29</v>
      </c>
      <c r="G1" s="1" t="s">
        <v>30</v>
      </c>
      <c r="H1" s="1" t="s">
        <v>92</v>
      </c>
      <c r="I1" s="1" t="s">
        <v>93</v>
      </c>
      <c r="J1" s="1" t="s">
        <v>94</v>
      </c>
      <c r="K1" s="1" t="s">
        <v>4</v>
      </c>
    </row>
    <row r="2" spans="1:11" x14ac:dyDescent="0.25">
      <c r="A2">
        <v>1</v>
      </c>
      <c r="B2" t="s">
        <v>36</v>
      </c>
      <c r="C2">
        <v>3.2</v>
      </c>
      <c r="D2" t="s">
        <v>95</v>
      </c>
      <c r="E2" t="s">
        <v>74</v>
      </c>
      <c r="F2" t="s">
        <v>37</v>
      </c>
      <c r="G2" t="s">
        <v>37</v>
      </c>
      <c r="H2">
        <v>1</v>
      </c>
      <c r="I2">
        <v>9</v>
      </c>
      <c r="J2">
        <v>0</v>
      </c>
      <c r="K2" t="s">
        <v>39</v>
      </c>
    </row>
    <row r="3" spans="1:11" x14ac:dyDescent="0.25">
      <c r="A3">
        <v>2</v>
      </c>
      <c r="B3" t="s">
        <v>36</v>
      </c>
      <c r="C3">
        <v>3.4</v>
      </c>
      <c r="D3" t="s">
        <v>96</v>
      </c>
      <c r="E3" t="s">
        <v>74</v>
      </c>
      <c r="F3" t="s">
        <v>97</v>
      </c>
      <c r="G3" t="s">
        <v>97</v>
      </c>
      <c r="H3">
        <v>1</v>
      </c>
      <c r="I3">
        <v>9</v>
      </c>
      <c r="J3">
        <v>0</v>
      </c>
      <c r="K3" t="s">
        <v>39</v>
      </c>
    </row>
    <row r="4" spans="1:11" x14ac:dyDescent="0.25">
      <c r="A4">
        <v>3</v>
      </c>
      <c r="B4" t="s">
        <v>36</v>
      </c>
      <c r="C4">
        <v>4.0999999999999996</v>
      </c>
      <c r="D4" t="s">
        <v>98</v>
      </c>
      <c r="E4" t="s">
        <v>71</v>
      </c>
      <c r="F4" t="s">
        <v>99</v>
      </c>
      <c r="G4" t="s">
        <v>99</v>
      </c>
      <c r="H4">
        <v>1</v>
      </c>
      <c r="I4">
        <v>9</v>
      </c>
      <c r="J4">
        <v>0</v>
      </c>
      <c r="K4" t="s">
        <v>39</v>
      </c>
    </row>
    <row r="5" spans="1:11" x14ac:dyDescent="0.25">
      <c r="A5">
        <v>4</v>
      </c>
      <c r="B5" t="s">
        <v>36</v>
      </c>
      <c r="C5">
        <v>4.2</v>
      </c>
      <c r="D5" t="s">
        <v>100</v>
      </c>
      <c r="E5" t="s">
        <v>71</v>
      </c>
      <c r="F5" t="s">
        <v>99</v>
      </c>
      <c r="G5" t="s">
        <v>99</v>
      </c>
      <c r="H5">
        <v>1</v>
      </c>
      <c r="I5">
        <v>9</v>
      </c>
      <c r="J5">
        <v>0</v>
      </c>
      <c r="K5" t="s">
        <v>39</v>
      </c>
    </row>
    <row r="6" spans="1:11" x14ac:dyDescent="0.25">
      <c r="A6">
        <v>5</v>
      </c>
      <c r="B6" t="s">
        <v>36</v>
      </c>
      <c r="C6">
        <v>4.3</v>
      </c>
      <c r="D6" t="s">
        <v>101</v>
      </c>
      <c r="E6" t="s">
        <v>71</v>
      </c>
      <c r="F6" t="s">
        <v>102</v>
      </c>
      <c r="G6" t="s">
        <v>102</v>
      </c>
      <c r="H6">
        <v>1</v>
      </c>
      <c r="I6">
        <v>9</v>
      </c>
      <c r="J6">
        <v>0</v>
      </c>
      <c r="K6" t="s">
        <v>39</v>
      </c>
    </row>
    <row r="7" spans="1:11" x14ac:dyDescent="0.25">
      <c r="A7">
        <v>6</v>
      </c>
      <c r="B7" t="s">
        <v>36</v>
      </c>
      <c r="C7">
        <v>4.4000000000000004</v>
      </c>
      <c r="D7" t="s">
        <v>103</v>
      </c>
      <c r="E7" t="s">
        <v>71</v>
      </c>
      <c r="F7" t="s">
        <v>102</v>
      </c>
      <c r="G7" t="s">
        <v>56</v>
      </c>
      <c r="H7">
        <v>2</v>
      </c>
      <c r="I7">
        <v>18</v>
      </c>
      <c r="J7">
        <v>0</v>
      </c>
      <c r="K7" t="s">
        <v>39</v>
      </c>
    </row>
    <row r="8" spans="1:11" x14ac:dyDescent="0.25">
      <c r="A8">
        <v>7</v>
      </c>
      <c r="B8" t="s">
        <v>36</v>
      </c>
      <c r="C8">
        <v>4.5</v>
      </c>
      <c r="D8" t="s">
        <v>104</v>
      </c>
      <c r="E8" t="s">
        <v>71</v>
      </c>
      <c r="F8" t="s">
        <v>42</v>
      </c>
      <c r="G8" t="s">
        <v>42</v>
      </c>
      <c r="H8">
        <v>1</v>
      </c>
      <c r="I8">
        <v>9</v>
      </c>
      <c r="J8">
        <v>0</v>
      </c>
      <c r="K8" t="s">
        <v>39</v>
      </c>
    </row>
    <row r="9" spans="1:11" x14ac:dyDescent="0.25">
      <c r="A9">
        <v>8</v>
      </c>
      <c r="B9" t="s">
        <v>36</v>
      </c>
      <c r="C9">
        <v>4.5999999999999996</v>
      </c>
      <c r="D9" t="s">
        <v>105</v>
      </c>
      <c r="E9" t="s">
        <v>79</v>
      </c>
      <c r="F9" t="s">
        <v>106</v>
      </c>
      <c r="G9" t="s">
        <v>107</v>
      </c>
      <c r="H9">
        <v>4</v>
      </c>
      <c r="I9">
        <v>36</v>
      </c>
      <c r="J9">
        <v>0</v>
      </c>
      <c r="K9" t="s">
        <v>39</v>
      </c>
    </row>
    <row r="10" spans="1:11" x14ac:dyDescent="0.25">
      <c r="A10">
        <v>9</v>
      </c>
      <c r="B10" t="s">
        <v>36</v>
      </c>
      <c r="C10">
        <v>4.7</v>
      </c>
      <c r="D10" t="s">
        <v>108</v>
      </c>
      <c r="E10" t="s">
        <v>71</v>
      </c>
      <c r="F10" t="s">
        <v>106</v>
      </c>
      <c r="G10" t="s">
        <v>106</v>
      </c>
      <c r="H10">
        <v>1</v>
      </c>
      <c r="I10">
        <v>9</v>
      </c>
      <c r="J10">
        <v>0</v>
      </c>
      <c r="K10" t="s">
        <v>39</v>
      </c>
    </row>
    <row r="11" spans="1:11" x14ac:dyDescent="0.25">
      <c r="A11">
        <v>10</v>
      </c>
      <c r="B11" t="s">
        <v>36</v>
      </c>
      <c r="C11">
        <v>4.8</v>
      </c>
      <c r="D11" t="s">
        <v>109</v>
      </c>
      <c r="E11" t="s">
        <v>74</v>
      </c>
      <c r="F11" t="s">
        <v>106</v>
      </c>
      <c r="G11" t="s">
        <v>110</v>
      </c>
      <c r="H11">
        <v>2</v>
      </c>
      <c r="I11">
        <v>18</v>
      </c>
      <c r="J11">
        <v>0</v>
      </c>
      <c r="K11" t="s">
        <v>39</v>
      </c>
    </row>
    <row r="12" spans="1:11" x14ac:dyDescent="0.25">
      <c r="A12">
        <v>11</v>
      </c>
      <c r="B12" t="s">
        <v>36</v>
      </c>
      <c r="C12">
        <v>4.9000000000000004</v>
      </c>
      <c r="D12" t="s">
        <v>111</v>
      </c>
      <c r="E12" t="s">
        <v>71</v>
      </c>
      <c r="F12" t="s">
        <v>110</v>
      </c>
      <c r="G12" t="s">
        <v>110</v>
      </c>
      <c r="H12">
        <v>1</v>
      </c>
      <c r="I12">
        <v>9</v>
      </c>
      <c r="J12">
        <v>0</v>
      </c>
      <c r="K12" t="s">
        <v>39</v>
      </c>
    </row>
    <row r="13" spans="1:11" x14ac:dyDescent="0.25">
      <c r="A13">
        <v>12</v>
      </c>
      <c r="B13" t="s">
        <v>36</v>
      </c>
      <c r="C13">
        <v>5</v>
      </c>
      <c r="D13" t="s">
        <v>112</v>
      </c>
      <c r="E13" t="s">
        <v>71</v>
      </c>
      <c r="F13" t="s">
        <v>113</v>
      </c>
      <c r="G13" t="s">
        <v>113</v>
      </c>
      <c r="H13">
        <v>1</v>
      </c>
      <c r="I13">
        <v>9</v>
      </c>
      <c r="J13">
        <v>0</v>
      </c>
      <c r="K13" t="s">
        <v>39</v>
      </c>
    </row>
    <row r="14" spans="1:11" x14ac:dyDescent="0.25">
      <c r="A14">
        <v>13</v>
      </c>
      <c r="B14" t="s">
        <v>36</v>
      </c>
      <c r="C14">
        <v>5.1000000000000103</v>
      </c>
      <c r="D14" t="s">
        <v>114</v>
      </c>
      <c r="E14" t="s">
        <v>82</v>
      </c>
      <c r="F14" t="s">
        <v>107</v>
      </c>
      <c r="G14" t="s">
        <v>115</v>
      </c>
      <c r="H14">
        <v>2</v>
      </c>
      <c r="I14">
        <v>18</v>
      </c>
      <c r="J14">
        <v>0</v>
      </c>
      <c r="K14" t="s">
        <v>39</v>
      </c>
    </row>
    <row r="15" spans="1:11" x14ac:dyDescent="0.25">
      <c r="A15">
        <v>14</v>
      </c>
      <c r="B15" t="s">
        <v>36</v>
      </c>
      <c r="C15">
        <v>5.2000000000000099</v>
      </c>
      <c r="D15" t="s">
        <v>116</v>
      </c>
      <c r="E15" t="s">
        <v>74</v>
      </c>
      <c r="F15" t="s">
        <v>107</v>
      </c>
      <c r="G15" t="s">
        <v>107</v>
      </c>
      <c r="H15">
        <v>1</v>
      </c>
      <c r="I15">
        <v>9</v>
      </c>
      <c r="J15">
        <v>0</v>
      </c>
      <c r="K15" t="s">
        <v>39</v>
      </c>
    </row>
    <row r="16" spans="1:11" x14ac:dyDescent="0.25">
      <c r="A16">
        <v>15</v>
      </c>
      <c r="B16" t="s">
        <v>36</v>
      </c>
      <c r="C16">
        <v>5.3000000000000096</v>
      </c>
      <c r="D16" t="s">
        <v>117</v>
      </c>
      <c r="E16" t="s">
        <v>74</v>
      </c>
      <c r="F16" t="s">
        <v>118</v>
      </c>
      <c r="G16" t="s">
        <v>119</v>
      </c>
      <c r="H16">
        <v>2</v>
      </c>
      <c r="I16">
        <v>18</v>
      </c>
      <c r="J16">
        <v>0</v>
      </c>
      <c r="K16" t="s">
        <v>39</v>
      </c>
    </row>
    <row r="17" spans="1:11" x14ac:dyDescent="0.25">
      <c r="A17">
        <v>16</v>
      </c>
      <c r="B17" t="s">
        <v>36</v>
      </c>
      <c r="C17">
        <v>5.4000000000000101</v>
      </c>
      <c r="D17" t="s">
        <v>120</v>
      </c>
      <c r="E17" t="s">
        <v>74</v>
      </c>
      <c r="F17" t="s">
        <v>119</v>
      </c>
      <c r="G17" t="s">
        <v>121</v>
      </c>
      <c r="H17">
        <v>2</v>
      </c>
      <c r="I17">
        <v>18</v>
      </c>
      <c r="J17">
        <v>0</v>
      </c>
      <c r="K17" t="s">
        <v>39</v>
      </c>
    </row>
    <row r="18" spans="1:11" x14ac:dyDescent="0.25">
      <c r="A18">
        <v>17</v>
      </c>
      <c r="B18" t="s">
        <v>36</v>
      </c>
      <c r="C18">
        <v>5.5</v>
      </c>
      <c r="D18" t="s">
        <v>122</v>
      </c>
      <c r="E18" t="s">
        <v>75</v>
      </c>
      <c r="F18" t="s">
        <v>37</v>
      </c>
      <c r="G18" t="s">
        <v>42</v>
      </c>
      <c r="H18">
        <v>6</v>
      </c>
      <c r="I18">
        <v>54</v>
      </c>
      <c r="J18">
        <v>0</v>
      </c>
      <c r="K18" t="s">
        <v>39</v>
      </c>
    </row>
    <row r="19" spans="1:11" x14ac:dyDescent="0.25">
      <c r="A19">
        <v>18</v>
      </c>
      <c r="B19" t="s">
        <v>36</v>
      </c>
      <c r="C19">
        <v>5.6</v>
      </c>
      <c r="D19" t="s">
        <v>123</v>
      </c>
      <c r="E19" t="s">
        <v>75</v>
      </c>
      <c r="F19" t="s">
        <v>106</v>
      </c>
      <c r="G19" t="s">
        <v>110</v>
      </c>
      <c r="H19">
        <v>2</v>
      </c>
      <c r="I19">
        <v>18</v>
      </c>
      <c r="J19">
        <v>0</v>
      </c>
      <c r="K19" t="s">
        <v>39</v>
      </c>
    </row>
    <row r="20" spans="1:11" x14ac:dyDescent="0.25">
      <c r="A20">
        <v>19</v>
      </c>
      <c r="B20" t="s">
        <v>36</v>
      </c>
      <c r="C20">
        <v>5.7</v>
      </c>
      <c r="D20" t="s">
        <v>124</v>
      </c>
      <c r="E20" t="s">
        <v>75</v>
      </c>
      <c r="F20" t="s">
        <v>113</v>
      </c>
      <c r="G20" t="s">
        <v>113</v>
      </c>
      <c r="H20">
        <v>1</v>
      </c>
      <c r="I20">
        <v>9</v>
      </c>
      <c r="J20">
        <v>0</v>
      </c>
      <c r="K20" t="s">
        <v>39</v>
      </c>
    </row>
    <row r="21" spans="1:11" x14ac:dyDescent="0.25">
      <c r="A21">
        <v>20</v>
      </c>
      <c r="B21" t="s">
        <v>36</v>
      </c>
      <c r="C21">
        <v>5.8</v>
      </c>
      <c r="D21" t="s">
        <v>125</v>
      </c>
      <c r="E21" t="s">
        <v>75</v>
      </c>
      <c r="F21" t="s">
        <v>113</v>
      </c>
      <c r="G21" t="s">
        <v>107</v>
      </c>
      <c r="H21">
        <v>2</v>
      </c>
      <c r="I21">
        <v>18</v>
      </c>
      <c r="J21">
        <v>0</v>
      </c>
      <c r="K21" t="s">
        <v>39</v>
      </c>
    </row>
    <row r="22" spans="1:11" x14ac:dyDescent="0.25">
      <c r="A22">
        <v>21</v>
      </c>
      <c r="B22" t="s">
        <v>36</v>
      </c>
      <c r="C22">
        <v>5.9</v>
      </c>
      <c r="D22" t="s">
        <v>116</v>
      </c>
      <c r="E22" t="s">
        <v>75</v>
      </c>
      <c r="F22" t="s">
        <v>118</v>
      </c>
      <c r="G22" t="s">
        <v>121</v>
      </c>
      <c r="H22">
        <v>2</v>
      </c>
      <c r="I22">
        <v>18</v>
      </c>
      <c r="J22">
        <v>0</v>
      </c>
      <c r="K22" t="s">
        <v>39</v>
      </c>
    </row>
    <row r="23" spans="1:11" x14ac:dyDescent="0.25">
      <c r="A23">
        <v>22</v>
      </c>
      <c r="B23" t="s">
        <v>36</v>
      </c>
      <c r="C23">
        <v>6</v>
      </c>
      <c r="D23" t="s">
        <v>126</v>
      </c>
      <c r="E23" t="s">
        <v>75</v>
      </c>
      <c r="F23" t="s">
        <v>127</v>
      </c>
      <c r="G23" t="s">
        <v>127</v>
      </c>
      <c r="H23">
        <v>1</v>
      </c>
      <c r="I23">
        <v>9</v>
      </c>
      <c r="J23">
        <v>0</v>
      </c>
      <c r="K23" t="s">
        <v>39</v>
      </c>
    </row>
    <row r="24" spans="1:11" x14ac:dyDescent="0.25">
      <c r="A24">
        <v>23</v>
      </c>
      <c r="B24" t="s">
        <v>36</v>
      </c>
      <c r="C24">
        <v>6.1</v>
      </c>
      <c r="D24" t="s">
        <v>128</v>
      </c>
      <c r="E24" t="s">
        <v>75</v>
      </c>
      <c r="F24" t="s">
        <v>53</v>
      </c>
      <c r="G24" t="s">
        <v>129</v>
      </c>
      <c r="H24">
        <v>4</v>
      </c>
      <c r="I24">
        <v>36</v>
      </c>
      <c r="J24">
        <v>0</v>
      </c>
      <c r="K24" t="s">
        <v>39</v>
      </c>
    </row>
    <row r="25" spans="1:11" x14ac:dyDescent="0.25">
      <c r="A25">
        <v>24</v>
      </c>
      <c r="B25" t="s">
        <v>36</v>
      </c>
      <c r="C25">
        <v>6.2</v>
      </c>
      <c r="D25" t="s">
        <v>130</v>
      </c>
      <c r="E25" t="s">
        <v>75</v>
      </c>
      <c r="F25" t="s">
        <v>129</v>
      </c>
      <c r="G25" t="s">
        <v>131</v>
      </c>
      <c r="H25">
        <v>2</v>
      </c>
      <c r="I25">
        <v>18</v>
      </c>
      <c r="J25">
        <v>0</v>
      </c>
      <c r="K25" t="s">
        <v>39</v>
      </c>
    </row>
    <row r="26" spans="1:11" x14ac:dyDescent="0.25">
      <c r="A26">
        <v>25</v>
      </c>
      <c r="B26" t="s">
        <v>36</v>
      </c>
      <c r="C26">
        <v>6.3</v>
      </c>
      <c r="D26" t="s">
        <v>132</v>
      </c>
      <c r="E26" t="s">
        <v>75</v>
      </c>
      <c r="F26" t="s">
        <v>131</v>
      </c>
      <c r="G26" t="s">
        <v>133</v>
      </c>
      <c r="H26">
        <v>4</v>
      </c>
      <c r="I26">
        <v>36</v>
      </c>
      <c r="J26">
        <v>0</v>
      </c>
      <c r="K26" t="s">
        <v>39</v>
      </c>
    </row>
    <row r="27" spans="1:11" x14ac:dyDescent="0.25">
      <c r="A27">
        <v>26</v>
      </c>
      <c r="B27" t="s">
        <v>36</v>
      </c>
      <c r="C27">
        <v>6.4</v>
      </c>
      <c r="D27" t="s">
        <v>134</v>
      </c>
      <c r="E27" t="s">
        <v>75</v>
      </c>
      <c r="F27" t="s">
        <v>135</v>
      </c>
      <c r="G27" t="s">
        <v>136</v>
      </c>
      <c r="H27">
        <v>2</v>
      </c>
      <c r="I27">
        <v>18</v>
      </c>
      <c r="J27">
        <v>0</v>
      </c>
      <c r="K27" t="s">
        <v>39</v>
      </c>
    </row>
    <row r="28" spans="1:11" x14ac:dyDescent="0.25">
      <c r="A28">
        <v>27</v>
      </c>
      <c r="B28" t="s">
        <v>36</v>
      </c>
      <c r="C28">
        <v>6.5</v>
      </c>
      <c r="D28" t="s">
        <v>137</v>
      </c>
      <c r="E28" t="s">
        <v>75</v>
      </c>
      <c r="F28" t="s">
        <v>135</v>
      </c>
      <c r="G28" t="s">
        <v>136</v>
      </c>
      <c r="H28">
        <v>2</v>
      </c>
      <c r="I28">
        <v>18</v>
      </c>
      <c r="J28">
        <v>0</v>
      </c>
      <c r="K28" t="s">
        <v>39</v>
      </c>
    </row>
    <row r="29" spans="1:11" x14ac:dyDescent="0.25">
      <c r="A29">
        <v>28</v>
      </c>
      <c r="B29" t="s">
        <v>36</v>
      </c>
      <c r="C29">
        <v>6.6</v>
      </c>
      <c r="D29" t="s">
        <v>138</v>
      </c>
      <c r="E29" t="s">
        <v>75</v>
      </c>
      <c r="F29" t="s">
        <v>135</v>
      </c>
      <c r="G29" t="s">
        <v>136</v>
      </c>
      <c r="H29">
        <v>2</v>
      </c>
      <c r="I29">
        <v>18</v>
      </c>
      <c r="J29">
        <v>0</v>
      </c>
      <c r="K29" t="s">
        <v>39</v>
      </c>
    </row>
    <row r="30" spans="1:11" x14ac:dyDescent="0.25">
      <c r="A30">
        <v>29</v>
      </c>
      <c r="B30" t="s">
        <v>36</v>
      </c>
      <c r="C30">
        <v>6.7</v>
      </c>
      <c r="D30" t="s">
        <v>139</v>
      </c>
      <c r="E30" t="s">
        <v>75</v>
      </c>
      <c r="F30" t="s">
        <v>140</v>
      </c>
      <c r="G30" t="s">
        <v>141</v>
      </c>
      <c r="H30">
        <v>2</v>
      </c>
      <c r="I30">
        <v>18</v>
      </c>
      <c r="J30">
        <v>0</v>
      </c>
      <c r="K30" t="s">
        <v>39</v>
      </c>
    </row>
    <row r="31" spans="1:11" x14ac:dyDescent="0.25">
      <c r="A31">
        <v>30</v>
      </c>
      <c r="B31" t="s">
        <v>36</v>
      </c>
      <c r="C31">
        <v>6.8</v>
      </c>
      <c r="D31" t="s">
        <v>142</v>
      </c>
      <c r="E31" t="s">
        <v>74</v>
      </c>
      <c r="F31" t="s">
        <v>99</v>
      </c>
      <c r="G31" t="s">
        <v>56</v>
      </c>
      <c r="H31">
        <v>3</v>
      </c>
      <c r="I31">
        <v>27</v>
      </c>
      <c r="J31">
        <v>0</v>
      </c>
      <c r="K31" t="s">
        <v>39</v>
      </c>
    </row>
    <row r="32" spans="1:11" x14ac:dyDescent="0.25">
      <c r="A32">
        <v>31</v>
      </c>
      <c r="B32" t="s">
        <v>36</v>
      </c>
      <c r="C32">
        <v>6.9</v>
      </c>
      <c r="D32" t="s">
        <v>143</v>
      </c>
      <c r="E32" t="s">
        <v>74</v>
      </c>
      <c r="F32" t="s">
        <v>42</v>
      </c>
      <c r="G32" t="s">
        <v>106</v>
      </c>
      <c r="H32">
        <v>3</v>
      </c>
      <c r="I32">
        <v>27</v>
      </c>
      <c r="J32">
        <v>0</v>
      </c>
      <c r="K32" t="s">
        <v>39</v>
      </c>
    </row>
    <row r="33" spans="1:11" x14ac:dyDescent="0.25">
      <c r="A33">
        <v>32</v>
      </c>
      <c r="B33" t="s">
        <v>36</v>
      </c>
      <c r="C33">
        <v>7</v>
      </c>
      <c r="D33" t="s">
        <v>144</v>
      </c>
      <c r="E33" t="s">
        <v>74</v>
      </c>
      <c r="F33" t="s">
        <v>110</v>
      </c>
      <c r="G33" t="s">
        <v>113</v>
      </c>
      <c r="H33">
        <v>3</v>
      </c>
      <c r="I33">
        <v>27</v>
      </c>
      <c r="J33">
        <v>0</v>
      </c>
      <c r="K33" t="s">
        <v>39</v>
      </c>
    </row>
    <row r="34" spans="1:11" x14ac:dyDescent="0.25">
      <c r="A34">
        <v>33</v>
      </c>
      <c r="B34" t="s">
        <v>36</v>
      </c>
      <c r="C34">
        <v>7.1</v>
      </c>
      <c r="D34" t="s">
        <v>145</v>
      </c>
      <c r="E34" t="s">
        <v>74</v>
      </c>
      <c r="F34" t="s">
        <v>113</v>
      </c>
      <c r="G34" t="s">
        <v>107</v>
      </c>
      <c r="H34">
        <v>2</v>
      </c>
      <c r="I34">
        <v>18</v>
      </c>
      <c r="J34">
        <v>0</v>
      </c>
      <c r="K34" t="s">
        <v>39</v>
      </c>
    </row>
    <row r="35" spans="1:11" x14ac:dyDescent="0.25">
      <c r="A35">
        <v>34</v>
      </c>
      <c r="B35" t="s">
        <v>36</v>
      </c>
      <c r="C35">
        <v>7.2</v>
      </c>
      <c r="D35" t="s">
        <v>146</v>
      </c>
      <c r="E35" t="s">
        <v>74</v>
      </c>
      <c r="F35" t="s">
        <v>115</v>
      </c>
      <c r="G35" t="s">
        <v>118</v>
      </c>
      <c r="H35">
        <v>3</v>
      </c>
      <c r="I35">
        <v>27</v>
      </c>
      <c r="J35">
        <v>0</v>
      </c>
      <c r="K35" t="s">
        <v>39</v>
      </c>
    </row>
    <row r="36" spans="1:11" x14ac:dyDescent="0.25">
      <c r="A36">
        <v>35</v>
      </c>
      <c r="B36" t="s">
        <v>36</v>
      </c>
      <c r="C36">
        <v>7.3</v>
      </c>
      <c r="D36" t="s">
        <v>147</v>
      </c>
      <c r="E36" t="s">
        <v>74</v>
      </c>
      <c r="F36" t="s">
        <v>118</v>
      </c>
      <c r="G36" t="s">
        <v>119</v>
      </c>
      <c r="H36">
        <v>2</v>
      </c>
      <c r="I36">
        <v>18</v>
      </c>
      <c r="J36">
        <v>0</v>
      </c>
      <c r="K36" t="s">
        <v>39</v>
      </c>
    </row>
    <row r="37" spans="1:11" x14ac:dyDescent="0.25">
      <c r="A37">
        <v>36</v>
      </c>
      <c r="B37" t="s">
        <v>36</v>
      </c>
      <c r="C37">
        <v>7.4</v>
      </c>
      <c r="D37" t="s">
        <v>148</v>
      </c>
      <c r="E37" t="s">
        <v>74</v>
      </c>
      <c r="F37" t="s">
        <v>121</v>
      </c>
      <c r="G37" t="s">
        <v>121</v>
      </c>
      <c r="H37">
        <v>1</v>
      </c>
      <c r="I37">
        <v>9</v>
      </c>
      <c r="J37">
        <v>0</v>
      </c>
      <c r="K37" t="s">
        <v>39</v>
      </c>
    </row>
    <row r="38" spans="1:11" x14ac:dyDescent="0.25">
      <c r="A38">
        <v>37</v>
      </c>
      <c r="B38" t="s">
        <v>36</v>
      </c>
      <c r="C38">
        <v>7.5</v>
      </c>
      <c r="D38" t="s">
        <v>149</v>
      </c>
      <c r="E38" t="s">
        <v>74</v>
      </c>
      <c r="F38" t="s">
        <v>127</v>
      </c>
      <c r="G38" t="s">
        <v>127</v>
      </c>
      <c r="H38">
        <v>1</v>
      </c>
      <c r="I38">
        <v>9</v>
      </c>
      <c r="J38">
        <v>0</v>
      </c>
      <c r="K38" t="s">
        <v>39</v>
      </c>
    </row>
    <row r="39" spans="1:11" x14ac:dyDescent="0.25">
      <c r="A39">
        <v>38</v>
      </c>
      <c r="B39" t="s">
        <v>36</v>
      </c>
      <c r="C39">
        <v>7.6</v>
      </c>
      <c r="D39" t="s">
        <v>150</v>
      </c>
      <c r="E39" t="s">
        <v>74</v>
      </c>
      <c r="F39" t="s">
        <v>53</v>
      </c>
      <c r="G39" t="s">
        <v>57</v>
      </c>
      <c r="H39">
        <v>2</v>
      </c>
      <c r="I39">
        <v>18</v>
      </c>
      <c r="J39">
        <v>0</v>
      </c>
      <c r="K39" t="s">
        <v>39</v>
      </c>
    </row>
    <row r="40" spans="1:11" x14ac:dyDescent="0.25">
      <c r="A40">
        <v>39</v>
      </c>
      <c r="B40" t="s">
        <v>36</v>
      </c>
      <c r="C40">
        <v>7.7</v>
      </c>
      <c r="D40" t="s">
        <v>151</v>
      </c>
      <c r="E40" t="s">
        <v>74</v>
      </c>
      <c r="F40" t="s">
        <v>152</v>
      </c>
      <c r="G40" t="s">
        <v>152</v>
      </c>
      <c r="H40">
        <v>1</v>
      </c>
      <c r="I40">
        <v>9</v>
      </c>
      <c r="J40">
        <v>0</v>
      </c>
      <c r="K40" t="s">
        <v>39</v>
      </c>
    </row>
    <row r="41" spans="1:11" x14ac:dyDescent="0.25">
      <c r="A41">
        <v>40</v>
      </c>
      <c r="B41" t="s">
        <v>36</v>
      </c>
      <c r="C41">
        <v>7.8000000000000096</v>
      </c>
      <c r="D41" t="s">
        <v>153</v>
      </c>
      <c r="E41" t="s">
        <v>74</v>
      </c>
      <c r="F41" t="s">
        <v>129</v>
      </c>
      <c r="G41" t="s">
        <v>97</v>
      </c>
      <c r="H41">
        <v>2</v>
      </c>
      <c r="I41">
        <v>18</v>
      </c>
      <c r="J41">
        <v>0</v>
      </c>
      <c r="K41" t="s">
        <v>39</v>
      </c>
    </row>
    <row r="42" spans="1:11" x14ac:dyDescent="0.25">
      <c r="A42">
        <v>41</v>
      </c>
      <c r="B42" t="s">
        <v>36</v>
      </c>
      <c r="C42">
        <v>7.9000000000000101</v>
      </c>
      <c r="D42" t="s">
        <v>154</v>
      </c>
      <c r="E42" t="s">
        <v>74</v>
      </c>
      <c r="F42" t="s">
        <v>131</v>
      </c>
      <c r="G42" t="s">
        <v>155</v>
      </c>
      <c r="H42">
        <v>2</v>
      </c>
      <c r="I42">
        <v>18</v>
      </c>
      <c r="J42">
        <v>0</v>
      </c>
      <c r="K42" t="s">
        <v>39</v>
      </c>
    </row>
    <row r="43" spans="1:11" x14ac:dyDescent="0.25">
      <c r="A43">
        <v>42</v>
      </c>
      <c r="B43" t="s">
        <v>36</v>
      </c>
      <c r="C43">
        <v>8.0000000000000107</v>
      </c>
      <c r="D43" t="s">
        <v>156</v>
      </c>
      <c r="E43" t="s">
        <v>74</v>
      </c>
      <c r="F43" t="s">
        <v>47</v>
      </c>
      <c r="G43" t="s">
        <v>135</v>
      </c>
      <c r="H43">
        <v>2</v>
      </c>
      <c r="I43">
        <v>18</v>
      </c>
      <c r="J43">
        <v>0</v>
      </c>
      <c r="K43" t="s">
        <v>39</v>
      </c>
    </row>
    <row r="44" spans="1:11" x14ac:dyDescent="0.25">
      <c r="A44">
        <v>43</v>
      </c>
      <c r="B44" t="s">
        <v>36</v>
      </c>
      <c r="C44">
        <v>8.1000000000000103</v>
      </c>
      <c r="D44" t="s">
        <v>157</v>
      </c>
      <c r="E44" t="s">
        <v>74</v>
      </c>
      <c r="F44" t="s">
        <v>133</v>
      </c>
      <c r="G44" t="s">
        <v>133</v>
      </c>
      <c r="H44">
        <v>1</v>
      </c>
      <c r="I44">
        <v>9</v>
      </c>
      <c r="J44">
        <v>0</v>
      </c>
      <c r="K44" t="s">
        <v>39</v>
      </c>
    </row>
    <row r="45" spans="1:11" x14ac:dyDescent="0.25">
      <c r="A45">
        <v>44</v>
      </c>
      <c r="B45" t="s">
        <v>36</v>
      </c>
      <c r="C45">
        <v>8.2000000000000099</v>
      </c>
      <c r="D45" t="s">
        <v>158</v>
      </c>
      <c r="E45" t="s">
        <v>74</v>
      </c>
      <c r="F45" t="s">
        <v>50</v>
      </c>
      <c r="G45" t="s">
        <v>140</v>
      </c>
      <c r="H45">
        <v>1</v>
      </c>
      <c r="I45">
        <v>9</v>
      </c>
      <c r="J45">
        <v>0</v>
      </c>
      <c r="K45" t="s">
        <v>39</v>
      </c>
    </row>
    <row r="46" spans="1:11" x14ac:dyDescent="0.25">
      <c r="A46">
        <v>45</v>
      </c>
      <c r="B46" t="s">
        <v>36</v>
      </c>
      <c r="C46">
        <v>8.3000000000000007</v>
      </c>
      <c r="D46" t="s">
        <v>159</v>
      </c>
      <c r="E46" t="s">
        <v>74</v>
      </c>
      <c r="F46" t="s">
        <v>140</v>
      </c>
      <c r="G46" t="s">
        <v>141</v>
      </c>
      <c r="H46">
        <v>2</v>
      </c>
      <c r="I46">
        <v>18</v>
      </c>
      <c r="J46">
        <v>0</v>
      </c>
      <c r="K46" t="s">
        <v>39</v>
      </c>
    </row>
    <row r="47" spans="1:11" x14ac:dyDescent="0.25">
      <c r="A47">
        <v>46</v>
      </c>
      <c r="B47" t="s">
        <v>36</v>
      </c>
      <c r="C47">
        <v>7.1</v>
      </c>
      <c r="D47" t="s">
        <v>160</v>
      </c>
      <c r="E47" t="s">
        <v>71</v>
      </c>
      <c r="F47" t="s">
        <v>50</v>
      </c>
      <c r="G47" t="s">
        <v>50</v>
      </c>
      <c r="H47">
        <v>1</v>
      </c>
      <c r="I47">
        <v>9</v>
      </c>
      <c r="J47">
        <v>0</v>
      </c>
      <c r="K47" t="s">
        <v>39</v>
      </c>
    </row>
    <row r="48" spans="1:11" x14ac:dyDescent="0.25">
      <c r="A48">
        <v>47</v>
      </c>
      <c r="B48" t="s">
        <v>36</v>
      </c>
      <c r="C48">
        <v>7.2</v>
      </c>
      <c r="D48" t="s">
        <v>161</v>
      </c>
      <c r="E48" t="s">
        <v>81</v>
      </c>
      <c r="F48" t="s">
        <v>140</v>
      </c>
      <c r="G48" t="s">
        <v>162</v>
      </c>
      <c r="H48">
        <v>2</v>
      </c>
      <c r="I48">
        <v>18</v>
      </c>
      <c r="J48">
        <v>0</v>
      </c>
      <c r="K48" t="s">
        <v>39</v>
      </c>
    </row>
    <row r="49" spans="1:11" x14ac:dyDescent="0.25">
      <c r="A49">
        <v>48</v>
      </c>
      <c r="B49" t="s">
        <v>36</v>
      </c>
      <c r="C49">
        <v>7.3</v>
      </c>
      <c r="D49" t="s">
        <v>163</v>
      </c>
      <c r="E49" t="s">
        <v>83</v>
      </c>
      <c r="F49" t="s">
        <v>140</v>
      </c>
      <c r="G49" t="s">
        <v>162</v>
      </c>
      <c r="H49">
        <v>1</v>
      </c>
      <c r="I49">
        <v>9</v>
      </c>
      <c r="J49">
        <v>0</v>
      </c>
      <c r="K49" t="s">
        <v>39</v>
      </c>
    </row>
    <row r="50" spans="1:11" x14ac:dyDescent="0.25">
      <c r="A50">
        <v>49</v>
      </c>
      <c r="B50" t="s">
        <v>36</v>
      </c>
      <c r="C50">
        <v>7.4</v>
      </c>
      <c r="D50" t="s">
        <v>164</v>
      </c>
      <c r="E50" t="s">
        <v>71</v>
      </c>
      <c r="F50" t="s">
        <v>165</v>
      </c>
      <c r="G50" t="s">
        <v>166</v>
      </c>
      <c r="H50">
        <v>2</v>
      </c>
      <c r="I50">
        <v>18</v>
      </c>
      <c r="J50">
        <v>0</v>
      </c>
      <c r="K50" t="s">
        <v>39</v>
      </c>
    </row>
    <row r="51" spans="1:11" x14ac:dyDescent="0.25">
      <c r="A51">
        <v>50</v>
      </c>
      <c r="B51" t="s">
        <v>36</v>
      </c>
      <c r="C51">
        <v>7.5</v>
      </c>
      <c r="D51" t="s">
        <v>167</v>
      </c>
      <c r="E51" t="s">
        <v>81</v>
      </c>
      <c r="F51" t="s">
        <v>165</v>
      </c>
      <c r="G51" t="s">
        <v>166</v>
      </c>
      <c r="H51">
        <v>1</v>
      </c>
      <c r="I51">
        <v>9</v>
      </c>
      <c r="J51">
        <v>0</v>
      </c>
      <c r="K51" t="s">
        <v>39</v>
      </c>
    </row>
    <row r="52" spans="1:11" x14ac:dyDescent="0.25">
      <c r="A52">
        <v>51</v>
      </c>
      <c r="B52" t="s">
        <v>36</v>
      </c>
      <c r="C52">
        <v>7.6</v>
      </c>
      <c r="D52" t="s">
        <v>168</v>
      </c>
      <c r="E52" t="s">
        <v>83</v>
      </c>
      <c r="F52" t="s">
        <v>38</v>
      </c>
      <c r="G52" t="s">
        <v>38</v>
      </c>
      <c r="H52">
        <v>1</v>
      </c>
      <c r="I52">
        <v>9</v>
      </c>
      <c r="J52">
        <v>0</v>
      </c>
      <c r="K52" t="s">
        <v>39</v>
      </c>
    </row>
    <row r="53" spans="1:11" x14ac:dyDescent="0.25">
      <c r="A53">
        <v>52</v>
      </c>
      <c r="B53" t="s">
        <v>58</v>
      </c>
      <c r="C53">
        <v>1.1000000000000001</v>
      </c>
      <c r="D53" t="s">
        <v>169</v>
      </c>
      <c r="E53" t="s">
        <v>82</v>
      </c>
      <c r="F53" t="s">
        <v>46</v>
      </c>
      <c r="G53" t="s">
        <v>170</v>
      </c>
      <c r="H53">
        <v>2</v>
      </c>
      <c r="I53">
        <v>18</v>
      </c>
      <c r="J53">
        <v>0</v>
      </c>
      <c r="K53" t="s">
        <v>171</v>
      </c>
    </row>
    <row r="54" spans="1:11" x14ac:dyDescent="0.25">
      <c r="A54">
        <v>53</v>
      </c>
      <c r="B54" t="s">
        <v>58</v>
      </c>
      <c r="C54">
        <v>1.3</v>
      </c>
      <c r="D54" t="s">
        <v>172</v>
      </c>
      <c r="E54" t="s">
        <v>79</v>
      </c>
      <c r="F54" t="s">
        <v>99</v>
      </c>
      <c r="G54" t="s">
        <v>102</v>
      </c>
      <c r="H54">
        <v>2</v>
      </c>
      <c r="I54">
        <v>18</v>
      </c>
      <c r="J54">
        <v>0</v>
      </c>
      <c r="K54" t="s">
        <v>39</v>
      </c>
    </row>
    <row r="55" spans="1:11" x14ac:dyDescent="0.25">
      <c r="A55">
        <v>54</v>
      </c>
      <c r="B55" t="s">
        <v>58</v>
      </c>
      <c r="C55">
        <v>1.4</v>
      </c>
      <c r="D55" t="s">
        <v>173</v>
      </c>
      <c r="E55" t="s">
        <v>82</v>
      </c>
      <c r="F55" t="s">
        <v>99</v>
      </c>
      <c r="G55" t="s">
        <v>102</v>
      </c>
      <c r="H55">
        <v>2</v>
      </c>
      <c r="I55">
        <v>18</v>
      </c>
      <c r="J55">
        <v>0</v>
      </c>
      <c r="K55" t="s">
        <v>39</v>
      </c>
    </row>
    <row r="56" spans="1:11" x14ac:dyDescent="0.25">
      <c r="A56">
        <v>55</v>
      </c>
      <c r="B56" t="s">
        <v>58</v>
      </c>
      <c r="C56">
        <v>1.5</v>
      </c>
      <c r="D56" t="s">
        <v>174</v>
      </c>
      <c r="E56" t="s">
        <v>82</v>
      </c>
      <c r="F56" t="s">
        <v>56</v>
      </c>
      <c r="G56" t="s">
        <v>56</v>
      </c>
      <c r="H56">
        <v>1</v>
      </c>
      <c r="I56">
        <v>9</v>
      </c>
      <c r="J56">
        <v>0</v>
      </c>
      <c r="K56" t="s">
        <v>39</v>
      </c>
    </row>
    <row r="57" spans="1:11" x14ac:dyDescent="0.25">
      <c r="A57">
        <v>56</v>
      </c>
      <c r="B57" t="s">
        <v>58</v>
      </c>
      <c r="C57">
        <v>1.6</v>
      </c>
      <c r="D57" t="s">
        <v>175</v>
      </c>
      <c r="E57" t="s">
        <v>79</v>
      </c>
      <c r="F57" t="s">
        <v>56</v>
      </c>
      <c r="G57" t="s">
        <v>56</v>
      </c>
      <c r="H57">
        <v>1</v>
      </c>
      <c r="I57">
        <v>9</v>
      </c>
      <c r="J57">
        <v>0</v>
      </c>
      <c r="K57" t="s">
        <v>39</v>
      </c>
    </row>
    <row r="58" spans="1:11" x14ac:dyDescent="0.25">
      <c r="A58">
        <v>57</v>
      </c>
      <c r="B58" t="s">
        <v>58</v>
      </c>
      <c r="C58">
        <v>1.7</v>
      </c>
      <c r="D58" t="s">
        <v>176</v>
      </c>
      <c r="E58" t="s">
        <v>82</v>
      </c>
      <c r="F58" t="s">
        <v>46</v>
      </c>
      <c r="G58" t="s">
        <v>170</v>
      </c>
      <c r="H58">
        <v>2</v>
      </c>
      <c r="I58">
        <v>18</v>
      </c>
      <c r="J58">
        <v>0</v>
      </c>
      <c r="K58" t="s">
        <v>171</v>
      </c>
    </row>
    <row r="59" spans="1:11" x14ac:dyDescent="0.25">
      <c r="A59">
        <v>58</v>
      </c>
      <c r="B59" t="s">
        <v>45</v>
      </c>
      <c r="C59">
        <v>3.6</v>
      </c>
      <c r="D59" t="s">
        <v>177</v>
      </c>
      <c r="E59" t="s">
        <v>71</v>
      </c>
      <c r="F59" t="s">
        <v>46</v>
      </c>
      <c r="G59" t="s">
        <v>37</v>
      </c>
      <c r="H59">
        <v>2</v>
      </c>
      <c r="I59">
        <v>18</v>
      </c>
      <c r="J59">
        <v>0</v>
      </c>
      <c r="K59" t="s">
        <v>48</v>
      </c>
    </row>
    <row r="60" spans="1:11" x14ac:dyDescent="0.25">
      <c r="A60">
        <v>59</v>
      </c>
      <c r="B60" t="s">
        <v>45</v>
      </c>
      <c r="C60">
        <v>4.0999999999999996</v>
      </c>
      <c r="D60" t="s">
        <v>178</v>
      </c>
      <c r="E60" t="s">
        <v>82</v>
      </c>
      <c r="F60" t="s">
        <v>42</v>
      </c>
      <c r="G60" t="s">
        <v>107</v>
      </c>
      <c r="H60">
        <v>5</v>
      </c>
      <c r="I60">
        <v>45</v>
      </c>
      <c r="J60">
        <v>50</v>
      </c>
      <c r="K60" t="s">
        <v>39</v>
      </c>
    </row>
    <row r="61" spans="1:11" x14ac:dyDescent="0.25">
      <c r="A61">
        <v>60</v>
      </c>
      <c r="B61" t="s">
        <v>45</v>
      </c>
      <c r="C61">
        <v>4.2</v>
      </c>
      <c r="D61" t="s">
        <v>179</v>
      </c>
      <c r="E61" t="s">
        <v>82</v>
      </c>
      <c r="F61" t="s">
        <v>110</v>
      </c>
      <c r="G61" t="s">
        <v>107</v>
      </c>
      <c r="H61">
        <v>2</v>
      </c>
      <c r="I61">
        <v>18</v>
      </c>
      <c r="J61">
        <v>0</v>
      </c>
      <c r="K61" t="s">
        <v>39</v>
      </c>
    </row>
    <row r="62" spans="1:11" x14ac:dyDescent="0.25">
      <c r="A62">
        <v>61</v>
      </c>
      <c r="B62" t="s">
        <v>45</v>
      </c>
      <c r="C62">
        <v>5.0999999999999996</v>
      </c>
      <c r="D62" t="s">
        <v>180</v>
      </c>
      <c r="E62" t="s">
        <v>82</v>
      </c>
      <c r="F62" t="s">
        <v>107</v>
      </c>
      <c r="G62" t="s">
        <v>181</v>
      </c>
      <c r="H62">
        <v>4</v>
      </c>
      <c r="I62">
        <v>36</v>
      </c>
      <c r="J62">
        <v>0</v>
      </c>
      <c r="K62" t="s">
        <v>39</v>
      </c>
    </row>
    <row r="63" spans="1:11" x14ac:dyDescent="0.25">
      <c r="A63">
        <v>62</v>
      </c>
      <c r="B63" t="s">
        <v>45</v>
      </c>
      <c r="C63">
        <v>5.2</v>
      </c>
      <c r="D63" t="s">
        <v>182</v>
      </c>
      <c r="E63" t="s">
        <v>82</v>
      </c>
      <c r="F63" t="s">
        <v>107</v>
      </c>
      <c r="G63" t="s">
        <v>181</v>
      </c>
      <c r="H63">
        <v>2</v>
      </c>
      <c r="I63">
        <v>18</v>
      </c>
      <c r="J63">
        <v>0</v>
      </c>
      <c r="K63" t="s">
        <v>39</v>
      </c>
    </row>
    <row r="64" spans="1:11" x14ac:dyDescent="0.25">
      <c r="A64">
        <v>63</v>
      </c>
      <c r="B64" t="s">
        <v>45</v>
      </c>
      <c r="C64">
        <v>5.3</v>
      </c>
      <c r="D64" t="s">
        <v>183</v>
      </c>
      <c r="E64" t="s">
        <v>82</v>
      </c>
      <c r="F64" t="s">
        <v>119</v>
      </c>
      <c r="G64" t="s">
        <v>181</v>
      </c>
      <c r="H64">
        <v>2</v>
      </c>
      <c r="I64">
        <v>18</v>
      </c>
      <c r="J64">
        <v>0</v>
      </c>
      <c r="K64" t="s">
        <v>39</v>
      </c>
    </row>
    <row r="65" spans="1:11" x14ac:dyDescent="0.25">
      <c r="A65">
        <v>64</v>
      </c>
      <c r="B65" t="s">
        <v>45</v>
      </c>
      <c r="C65">
        <v>5.4</v>
      </c>
      <c r="D65" t="s">
        <v>184</v>
      </c>
      <c r="E65" t="s">
        <v>82</v>
      </c>
      <c r="F65" t="s">
        <v>119</v>
      </c>
      <c r="G65" t="s">
        <v>181</v>
      </c>
      <c r="H65">
        <v>2</v>
      </c>
      <c r="I65">
        <v>18</v>
      </c>
      <c r="J65">
        <v>0</v>
      </c>
      <c r="K65" t="s">
        <v>39</v>
      </c>
    </row>
    <row r="66" spans="1:11" x14ac:dyDescent="0.25">
      <c r="A66">
        <v>65</v>
      </c>
      <c r="B66" t="s">
        <v>45</v>
      </c>
      <c r="C66">
        <v>6.2</v>
      </c>
      <c r="D66" t="s">
        <v>185</v>
      </c>
      <c r="E66" t="s">
        <v>81</v>
      </c>
      <c r="F66" t="s">
        <v>181</v>
      </c>
      <c r="G66" t="s">
        <v>186</v>
      </c>
      <c r="H66">
        <v>3</v>
      </c>
      <c r="I66">
        <v>27</v>
      </c>
      <c r="J66">
        <v>0</v>
      </c>
      <c r="K66" t="s">
        <v>39</v>
      </c>
    </row>
    <row r="67" spans="1:11" x14ac:dyDescent="0.25">
      <c r="A67">
        <v>66</v>
      </c>
      <c r="B67" t="s">
        <v>45</v>
      </c>
      <c r="C67">
        <v>6.3</v>
      </c>
      <c r="D67" t="s">
        <v>187</v>
      </c>
      <c r="E67" t="s">
        <v>81</v>
      </c>
      <c r="F67" t="s">
        <v>152</v>
      </c>
      <c r="G67" t="s">
        <v>186</v>
      </c>
      <c r="H67">
        <v>2</v>
      </c>
      <c r="I67">
        <v>18</v>
      </c>
      <c r="J67">
        <v>0</v>
      </c>
      <c r="K67" t="s">
        <v>39</v>
      </c>
    </row>
    <row r="68" spans="1:11" x14ac:dyDescent="0.25">
      <c r="A68">
        <v>67</v>
      </c>
      <c r="B68" t="s">
        <v>45</v>
      </c>
      <c r="C68">
        <v>6.4</v>
      </c>
      <c r="D68" t="s">
        <v>188</v>
      </c>
      <c r="E68" t="s">
        <v>83</v>
      </c>
      <c r="F68" t="s">
        <v>152</v>
      </c>
      <c r="G68" t="s">
        <v>186</v>
      </c>
      <c r="H68">
        <v>2</v>
      </c>
      <c r="I68">
        <v>18</v>
      </c>
      <c r="J68">
        <v>0</v>
      </c>
      <c r="K68" t="s">
        <v>39</v>
      </c>
    </row>
    <row r="69" spans="1:11" x14ac:dyDescent="0.25">
      <c r="A69">
        <v>68</v>
      </c>
      <c r="B69" t="s">
        <v>45</v>
      </c>
      <c r="C69">
        <v>7.1</v>
      </c>
      <c r="D69" t="s">
        <v>189</v>
      </c>
      <c r="E69" t="s">
        <v>71</v>
      </c>
      <c r="F69" t="s">
        <v>186</v>
      </c>
      <c r="G69" t="s">
        <v>47</v>
      </c>
      <c r="H69">
        <v>2</v>
      </c>
      <c r="I69">
        <v>18</v>
      </c>
      <c r="J69">
        <v>0</v>
      </c>
      <c r="K69" t="s">
        <v>39</v>
      </c>
    </row>
    <row r="70" spans="1:11" x14ac:dyDescent="0.25">
      <c r="A70">
        <v>69</v>
      </c>
      <c r="B70" t="s">
        <v>45</v>
      </c>
      <c r="C70">
        <v>7.2</v>
      </c>
      <c r="D70" t="s">
        <v>190</v>
      </c>
      <c r="E70" t="s">
        <v>81</v>
      </c>
      <c r="F70" t="s">
        <v>186</v>
      </c>
      <c r="G70" t="s">
        <v>47</v>
      </c>
      <c r="H70">
        <v>2</v>
      </c>
      <c r="I70">
        <v>18</v>
      </c>
      <c r="J70">
        <v>0</v>
      </c>
      <c r="K70" t="s">
        <v>39</v>
      </c>
    </row>
    <row r="71" spans="1:11" x14ac:dyDescent="0.25">
      <c r="A71">
        <v>70</v>
      </c>
      <c r="B71" t="s">
        <v>45</v>
      </c>
      <c r="C71">
        <v>7.3</v>
      </c>
      <c r="D71" t="s">
        <v>163</v>
      </c>
      <c r="E71" t="s">
        <v>83</v>
      </c>
      <c r="F71" t="s">
        <v>186</v>
      </c>
      <c r="G71" t="s">
        <v>47</v>
      </c>
      <c r="H71">
        <v>1</v>
      </c>
      <c r="I71">
        <v>9</v>
      </c>
      <c r="J71">
        <v>0</v>
      </c>
      <c r="K71" t="s">
        <v>39</v>
      </c>
    </row>
    <row r="72" spans="1:11" x14ac:dyDescent="0.25">
      <c r="A72">
        <v>71</v>
      </c>
      <c r="B72" t="s">
        <v>49</v>
      </c>
      <c r="C72">
        <v>4.5</v>
      </c>
      <c r="D72" t="s">
        <v>191</v>
      </c>
      <c r="E72" t="s">
        <v>71</v>
      </c>
      <c r="F72" t="s">
        <v>162</v>
      </c>
      <c r="G72" t="s">
        <v>192</v>
      </c>
      <c r="H72">
        <v>3</v>
      </c>
      <c r="I72">
        <v>27</v>
      </c>
      <c r="J72">
        <v>0</v>
      </c>
      <c r="K72" t="s">
        <v>39</v>
      </c>
    </row>
    <row r="73" spans="1:11" x14ac:dyDescent="0.25">
      <c r="A73">
        <v>72</v>
      </c>
      <c r="B73" t="s">
        <v>49</v>
      </c>
      <c r="C73">
        <v>5.0999999999999996</v>
      </c>
      <c r="D73" t="s">
        <v>193</v>
      </c>
      <c r="E73" t="s">
        <v>71</v>
      </c>
      <c r="F73" t="s">
        <v>50</v>
      </c>
      <c r="G73" t="s">
        <v>140</v>
      </c>
      <c r="H73">
        <v>3</v>
      </c>
      <c r="I73">
        <v>27</v>
      </c>
      <c r="J73">
        <v>0</v>
      </c>
      <c r="K73" t="s">
        <v>39</v>
      </c>
    </row>
    <row r="74" spans="1:11" x14ac:dyDescent="0.25">
      <c r="A74">
        <v>73</v>
      </c>
      <c r="B74" t="s">
        <v>49</v>
      </c>
      <c r="C74">
        <v>5.2</v>
      </c>
      <c r="D74" t="s">
        <v>194</v>
      </c>
      <c r="E74" t="s">
        <v>71</v>
      </c>
      <c r="F74" t="s">
        <v>141</v>
      </c>
      <c r="G74" t="s">
        <v>195</v>
      </c>
      <c r="H74">
        <v>3</v>
      </c>
      <c r="I74">
        <v>27</v>
      </c>
      <c r="J74">
        <v>0</v>
      </c>
      <c r="K74" t="s">
        <v>39</v>
      </c>
    </row>
    <row r="75" spans="1:11" x14ac:dyDescent="0.25">
      <c r="A75">
        <v>74</v>
      </c>
      <c r="B75" t="s">
        <v>49</v>
      </c>
      <c r="C75">
        <v>6.1</v>
      </c>
      <c r="D75" t="s">
        <v>196</v>
      </c>
      <c r="E75" t="s">
        <v>81</v>
      </c>
      <c r="F75" t="s">
        <v>162</v>
      </c>
      <c r="G75" t="s">
        <v>162</v>
      </c>
      <c r="H75">
        <v>2</v>
      </c>
      <c r="I75">
        <v>18</v>
      </c>
      <c r="J75">
        <v>0</v>
      </c>
      <c r="K75" t="s">
        <v>39</v>
      </c>
    </row>
    <row r="76" spans="1:11" x14ac:dyDescent="0.25">
      <c r="A76">
        <v>75</v>
      </c>
      <c r="B76" t="s">
        <v>49</v>
      </c>
      <c r="C76">
        <v>6.2</v>
      </c>
      <c r="D76" t="s">
        <v>197</v>
      </c>
      <c r="E76" t="s">
        <v>81</v>
      </c>
      <c r="F76" t="s">
        <v>192</v>
      </c>
      <c r="G76" t="s">
        <v>198</v>
      </c>
      <c r="H76">
        <v>2</v>
      </c>
      <c r="I76">
        <v>18</v>
      </c>
      <c r="J76">
        <v>0</v>
      </c>
      <c r="K76" t="s">
        <v>39</v>
      </c>
    </row>
    <row r="77" spans="1:11" x14ac:dyDescent="0.25">
      <c r="A77">
        <v>76</v>
      </c>
      <c r="B77" t="s">
        <v>49</v>
      </c>
      <c r="C77">
        <v>6.3</v>
      </c>
      <c r="D77" t="s">
        <v>199</v>
      </c>
      <c r="E77" t="s">
        <v>81</v>
      </c>
      <c r="F77" t="s">
        <v>165</v>
      </c>
      <c r="G77" t="s">
        <v>165</v>
      </c>
      <c r="H77">
        <v>2</v>
      </c>
      <c r="I77">
        <v>18</v>
      </c>
      <c r="J77">
        <v>0</v>
      </c>
      <c r="K77" t="s">
        <v>39</v>
      </c>
    </row>
    <row r="78" spans="1:11" x14ac:dyDescent="0.25">
      <c r="A78">
        <v>77</v>
      </c>
      <c r="B78" t="s">
        <v>49</v>
      </c>
      <c r="C78">
        <v>7.1</v>
      </c>
      <c r="D78" t="s">
        <v>200</v>
      </c>
      <c r="E78" t="s">
        <v>82</v>
      </c>
      <c r="F78" t="s">
        <v>201</v>
      </c>
      <c r="G78" t="s">
        <v>201</v>
      </c>
      <c r="H78">
        <v>2</v>
      </c>
      <c r="I78">
        <v>18</v>
      </c>
      <c r="J78">
        <v>0</v>
      </c>
      <c r="K78" t="s">
        <v>39</v>
      </c>
    </row>
    <row r="79" spans="1:11" x14ac:dyDescent="0.25">
      <c r="A79">
        <v>78</v>
      </c>
      <c r="B79" t="s">
        <v>49</v>
      </c>
      <c r="C79">
        <v>7.2</v>
      </c>
      <c r="D79" t="s">
        <v>202</v>
      </c>
      <c r="E79" t="s">
        <v>71</v>
      </c>
      <c r="F79" t="s">
        <v>38</v>
      </c>
      <c r="G79" t="s">
        <v>38</v>
      </c>
      <c r="H79">
        <v>1</v>
      </c>
      <c r="I79">
        <v>9</v>
      </c>
      <c r="J79">
        <v>0</v>
      </c>
      <c r="K79" t="s">
        <v>39</v>
      </c>
    </row>
    <row r="80" spans="1:11" x14ac:dyDescent="0.25">
      <c r="A80">
        <v>79</v>
      </c>
      <c r="B80" t="s">
        <v>49</v>
      </c>
      <c r="C80">
        <v>7.4</v>
      </c>
      <c r="D80" t="s">
        <v>203</v>
      </c>
      <c r="E80" t="s">
        <v>83</v>
      </c>
      <c r="F80" t="s">
        <v>43</v>
      </c>
      <c r="G80" t="s">
        <v>43</v>
      </c>
      <c r="H80">
        <v>1</v>
      </c>
      <c r="I80">
        <v>9</v>
      </c>
      <c r="J80">
        <v>0</v>
      </c>
      <c r="K80" t="s">
        <v>39</v>
      </c>
    </row>
    <row r="81" spans="1:11" x14ac:dyDescent="0.25">
      <c r="A81">
        <v>80</v>
      </c>
      <c r="B81" t="s">
        <v>49</v>
      </c>
      <c r="C81">
        <v>8.1</v>
      </c>
      <c r="D81" t="s">
        <v>204</v>
      </c>
      <c r="E81" t="s">
        <v>81</v>
      </c>
      <c r="F81" t="s">
        <v>205</v>
      </c>
      <c r="G81" t="s">
        <v>43</v>
      </c>
      <c r="H81">
        <v>1</v>
      </c>
      <c r="I81">
        <v>9</v>
      </c>
      <c r="J81">
        <v>0</v>
      </c>
      <c r="K81" t="s">
        <v>39</v>
      </c>
    </row>
    <row r="82" spans="1:11" x14ac:dyDescent="0.25">
      <c r="A82">
        <v>81</v>
      </c>
      <c r="B82" t="s">
        <v>49</v>
      </c>
      <c r="C82">
        <v>8.1999999999999993</v>
      </c>
      <c r="D82" t="s">
        <v>206</v>
      </c>
      <c r="E82" t="s">
        <v>83</v>
      </c>
      <c r="F82" t="s">
        <v>205</v>
      </c>
      <c r="G82" t="s">
        <v>43</v>
      </c>
      <c r="H82">
        <v>1</v>
      </c>
      <c r="I82">
        <v>9</v>
      </c>
      <c r="J82">
        <v>0</v>
      </c>
      <c r="K82" t="s">
        <v>39</v>
      </c>
    </row>
    <row r="83" spans="1:11" x14ac:dyDescent="0.25">
      <c r="A83">
        <v>82</v>
      </c>
      <c r="B83" t="s">
        <v>49</v>
      </c>
      <c r="C83">
        <v>8.3000000000000007</v>
      </c>
      <c r="D83" t="s">
        <v>207</v>
      </c>
      <c r="E83" t="s">
        <v>83</v>
      </c>
      <c r="F83" t="s">
        <v>205</v>
      </c>
      <c r="G83" t="s">
        <v>43</v>
      </c>
      <c r="H83">
        <v>1</v>
      </c>
      <c r="I83">
        <v>9</v>
      </c>
      <c r="J83">
        <v>0</v>
      </c>
      <c r="K83" t="s">
        <v>39</v>
      </c>
    </row>
    <row r="84" spans="1:11" x14ac:dyDescent="0.25">
      <c r="A84">
        <v>83</v>
      </c>
      <c r="B84" t="s">
        <v>54</v>
      </c>
      <c r="C84">
        <v>1.1000000000000001</v>
      </c>
      <c r="D84" t="s">
        <v>208</v>
      </c>
      <c r="E84" t="s">
        <v>75</v>
      </c>
      <c r="F84" t="s">
        <v>209</v>
      </c>
      <c r="G84" t="s">
        <v>210</v>
      </c>
      <c r="H84">
        <v>3</v>
      </c>
      <c r="I84">
        <v>27</v>
      </c>
      <c r="J84">
        <v>0</v>
      </c>
      <c r="K84" t="s">
        <v>171</v>
      </c>
    </row>
    <row r="85" spans="1:11" x14ac:dyDescent="0.25">
      <c r="A85">
        <v>84</v>
      </c>
      <c r="B85" t="s">
        <v>54</v>
      </c>
      <c r="C85">
        <v>1.2</v>
      </c>
      <c r="D85" t="s">
        <v>211</v>
      </c>
      <c r="E85" t="s">
        <v>82</v>
      </c>
      <c r="F85" t="s">
        <v>46</v>
      </c>
      <c r="G85" t="s">
        <v>170</v>
      </c>
      <c r="H85">
        <v>1</v>
      </c>
      <c r="I85">
        <v>9</v>
      </c>
      <c r="J85">
        <v>0</v>
      </c>
      <c r="K85" t="s">
        <v>171</v>
      </c>
    </row>
    <row r="86" spans="1:11" x14ac:dyDescent="0.25">
      <c r="A86">
        <v>85</v>
      </c>
      <c r="B86" t="s">
        <v>54</v>
      </c>
      <c r="C86">
        <v>2.1</v>
      </c>
      <c r="D86" t="s">
        <v>212</v>
      </c>
      <c r="E86" t="s">
        <v>82</v>
      </c>
      <c r="F86" t="s">
        <v>170</v>
      </c>
      <c r="G86" t="s">
        <v>170</v>
      </c>
      <c r="H86">
        <v>0.5</v>
      </c>
      <c r="I86">
        <v>4.5</v>
      </c>
      <c r="J86">
        <v>0</v>
      </c>
      <c r="K86" t="s">
        <v>171</v>
      </c>
    </row>
    <row r="87" spans="1:11" x14ac:dyDescent="0.25">
      <c r="A87">
        <v>86</v>
      </c>
      <c r="B87" t="s">
        <v>54</v>
      </c>
      <c r="C87">
        <v>2.2000000000000002</v>
      </c>
      <c r="D87" t="s">
        <v>213</v>
      </c>
      <c r="E87" t="s">
        <v>82</v>
      </c>
      <c r="F87" t="s">
        <v>170</v>
      </c>
      <c r="G87" t="s">
        <v>170</v>
      </c>
      <c r="H87">
        <v>0.5</v>
      </c>
      <c r="I87">
        <v>4.5</v>
      </c>
      <c r="J87">
        <v>0</v>
      </c>
      <c r="K87" t="s">
        <v>171</v>
      </c>
    </row>
    <row r="88" spans="1:11" x14ac:dyDescent="0.25">
      <c r="A88">
        <v>87</v>
      </c>
      <c r="B88" t="s">
        <v>54</v>
      </c>
      <c r="C88">
        <v>2.2000000000000002</v>
      </c>
      <c r="D88" t="s">
        <v>214</v>
      </c>
      <c r="E88" t="s">
        <v>82</v>
      </c>
      <c r="F88" t="s">
        <v>210</v>
      </c>
      <c r="G88" t="s">
        <v>210</v>
      </c>
      <c r="H88">
        <v>0.5</v>
      </c>
      <c r="I88">
        <v>4.5</v>
      </c>
      <c r="J88">
        <v>0</v>
      </c>
      <c r="K88" t="s">
        <v>171</v>
      </c>
    </row>
    <row r="89" spans="1:11" x14ac:dyDescent="0.25">
      <c r="A89">
        <v>88</v>
      </c>
      <c r="B89" t="s">
        <v>54</v>
      </c>
      <c r="C89">
        <v>2.2000000000000002</v>
      </c>
      <c r="D89" t="s">
        <v>215</v>
      </c>
      <c r="E89" t="s">
        <v>82</v>
      </c>
      <c r="F89" t="s">
        <v>102</v>
      </c>
      <c r="G89" t="s">
        <v>102</v>
      </c>
      <c r="H89">
        <v>0.5</v>
      </c>
      <c r="I89">
        <v>4.5</v>
      </c>
      <c r="J89">
        <v>0</v>
      </c>
      <c r="K89" t="s">
        <v>39</v>
      </c>
    </row>
    <row r="90" spans="1:11" x14ac:dyDescent="0.25">
      <c r="A90">
        <v>89</v>
      </c>
      <c r="B90" t="s">
        <v>54</v>
      </c>
      <c r="C90">
        <v>2.2000000000000002</v>
      </c>
      <c r="D90" t="s">
        <v>216</v>
      </c>
      <c r="E90" t="s">
        <v>82</v>
      </c>
      <c r="F90" t="s">
        <v>102</v>
      </c>
      <c r="G90" t="s">
        <v>102</v>
      </c>
      <c r="H90">
        <v>0.5</v>
      </c>
      <c r="I90">
        <v>4.5</v>
      </c>
      <c r="J90">
        <v>0</v>
      </c>
      <c r="K90" t="s">
        <v>39</v>
      </c>
    </row>
    <row r="91" spans="1:11" x14ac:dyDescent="0.25">
      <c r="A91">
        <v>90</v>
      </c>
      <c r="B91" t="s">
        <v>54</v>
      </c>
      <c r="C91">
        <v>2.2000000000000002</v>
      </c>
      <c r="D91" t="s">
        <v>217</v>
      </c>
      <c r="E91" t="s">
        <v>82</v>
      </c>
      <c r="F91" t="s">
        <v>42</v>
      </c>
      <c r="G91" t="s">
        <v>42</v>
      </c>
      <c r="H91">
        <v>0.5</v>
      </c>
      <c r="I91">
        <v>4.5</v>
      </c>
      <c r="J91">
        <v>0</v>
      </c>
      <c r="K91" t="s">
        <v>39</v>
      </c>
    </row>
    <row r="92" spans="1:11" x14ac:dyDescent="0.25">
      <c r="A92">
        <v>91</v>
      </c>
      <c r="B92" t="s">
        <v>54</v>
      </c>
      <c r="C92">
        <v>3.1</v>
      </c>
      <c r="D92" t="s">
        <v>218</v>
      </c>
      <c r="E92" t="s">
        <v>82</v>
      </c>
      <c r="F92" t="s">
        <v>170</v>
      </c>
      <c r="G92" t="s">
        <v>170</v>
      </c>
      <c r="H92">
        <v>10</v>
      </c>
      <c r="I92">
        <v>90</v>
      </c>
      <c r="J92">
        <v>0</v>
      </c>
      <c r="K92" t="s">
        <v>171</v>
      </c>
    </row>
    <row r="93" spans="1:11" x14ac:dyDescent="0.25">
      <c r="A93">
        <v>92</v>
      </c>
      <c r="B93" t="s">
        <v>54</v>
      </c>
      <c r="C93">
        <v>3.2</v>
      </c>
      <c r="D93" t="s">
        <v>219</v>
      </c>
      <c r="E93" t="s">
        <v>82</v>
      </c>
      <c r="F93" t="s">
        <v>170</v>
      </c>
      <c r="G93" t="s">
        <v>170</v>
      </c>
      <c r="H93">
        <v>0.5</v>
      </c>
      <c r="I93">
        <v>4.5</v>
      </c>
      <c r="J93">
        <v>0</v>
      </c>
      <c r="K93" t="s">
        <v>171</v>
      </c>
    </row>
    <row r="94" spans="1:11" x14ac:dyDescent="0.25">
      <c r="A94">
        <v>93</v>
      </c>
      <c r="B94" t="s">
        <v>55</v>
      </c>
      <c r="C94">
        <v>1.1000000000000001</v>
      </c>
      <c r="D94" t="s">
        <v>220</v>
      </c>
      <c r="E94" t="s">
        <v>76</v>
      </c>
      <c r="F94" t="s">
        <v>56</v>
      </c>
      <c r="G94" t="s">
        <v>56</v>
      </c>
      <c r="H94">
        <v>1</v>
      </c>
      <c r="I94">
        <v>9</v>
      </c>
      <c r="J94">
        <v>0</v>
      </c>
      <c r="K94" t="s">
        <v>39</v>
      </c>
    </row>
    <row r="95" spans="1:11" x14ac:dyDescent="0.25">
      <c r="A95">
        <v>94</v>
      </c>
      <c r="B95" t="s">
        <v>55</v>
      </c>
      <c r="C95">
        <v>1.2</v>
      </c>
      <c r="D95" t="s">
        <v>221</v>
      </c>
      <c r="E95" t="s">
        <v>80</v>
      </c>
      <c r="F95" t="s">
        <v>42</v>
      </c>
      <c r="G95" t="s">
        <v>42</v>
      </c>
      <c r="H95">
        <v>1</v>
      </c>
      <c r="I95">
        <v>9</v>
      </c>
      <c r="J95">
        <v>0</v>
      </c>
      <c r="K95" t="s">
        <v>39</v>
      </c>
    </row>
    <row r="96" spans="1:11" x14ac:dyDescent="0.25">
      <c r="A96">
        <v>95</v>
      </c>
      <c r="B96" t="s">
        <v>55</v>
      </c>
      <c r="C96">
        <v>1.3</v>
      </c>
      <c r="D96" t="s">
        <v>219</v>
      </c>
      <c r="E96" t="s">
        <v>81</v>
      </c>
      <c r="F96" t="s">
        <v>42</v>
      </c>
      <c r="G96" t="s">
        <v>110</v>
      </c>
      <c r="H96">
        <v>3</v>
      </c>
      <c r="I96">
        <v>27</v>
      </c>
      <c r="J96">
        <v>0</v>
      </c>
      <c r="K96" t="s">
        <v>39</v>
      </c>
    </row>
    <row r="97" spans="1:11" x14ac:dyDescent="0.25">
      <c r="A97">
        <v>96</v>
      </c>
      <c r="B97" t="s">
        <v>55</v>
      </c>
      <c r="C97">
        <v>1.4</v>
      </c>
      <c r="D97" t="s">
        <v>222</v>
      </c>
      <c r="E97" t="s">
        <v>81</v>
      </c>
      <c r="F97" t="s">
        <v>119</v>
      </c>
      <c r="G97" t="s">
        <v>57</v>
      </c>
      <c r="H97">
        <v>5</v>
      </c>
      <c r="I97">
        <v>45</v>
      </c>
      <c r="J97">
        <v>0</v>
      </c>
      <c r="K97" t="s">
        <v>39</v>
      </c>
    </row>
    <row r="98" spans="1:11" x14ac:dyDescent="0.25">
      <c r="A98">
        <v>97</v>
      </c>
      <c r="B98" t="s">
        <v>41</v>
      </c>
      <c r="C98">
        <v>1.1000000000000001</v>
      </c>
      <c r="D98" t="s">
        <v>223</v>
      </c>
      <c r="E98" t="s">
        <v>68</v>
      </c>
      <c r="F98" t="s">
        <v>42</v>
      </c>
      <c r="G98" t="s">
        <v>43</v>
      </c>
      <c r="H98">
        <v>43</v>
      </c>
      <c r="I98">
        <v>387</v>
      </c>
      <c r="J98">
        <v>0</v>
      </c>
      <c r="K98" t="s">
        <v>39</v>
      </c>
    </row>
    <row r="99" spans="1:11" x14ac:dyDescent="0.25">
      <c r="A99">
        <v>98</v>
      </c>
      <c r="B99" t="s">
        <v>52</v>
      </c>
      <c r="C99">
        <v>1.1000000000000001</v>
      </c>
      <c r="D99" t="s">
        <v>224</v>
      </c>
      <c r="E99" t="s">
        <v>79</v>
      </c>
      <c r="F99" t="s">
        <v>53</v>
      </c>
      <c r="G99" t="s">
        <v>97</v>
      </c>
      <c r="H99">
        <v>5</v>
      </c>
      <c r="I99">
        <v>45</v>
      </c>
      <c r="J99">
        <v>0</v>
      </c>
      <c r="K99" t="s">
        <v>39</v>
      </c>
    </row>
    <row r="100" spans="1:11" x14ac:dyDescent="0.25">
      <c r="A100">
        <v>99</v>
      </c>
      <c r="B100" t="s">
        <v>52</v>
      </c>
      <c r="C100">
        <v>1.2</v>
      </c>
      <c r="D100" t="s">
        <v>225</v>
      </c>
      <c r="E100" t="s">
        <v>75</v>
      </c>
      <c r="F100" t="s">
        <v>131</v>
      </c>
      <c r="G100" t="s">
        <v>133</v>
      </c>
      <c r="H100">
        <v>5</v>
      </c>
      <c r="I100">
        <v>45</v>
      </c>
      <c r="J100">
        <v>0</v>
      </c>
      <c r="K100" t="s">
        <v>39</v>
      </c>
    </row>
    <row r="101" spans="1:11" x14ac:dyDescent="0.25">
      <c r="A101">
        <v>100</v>
      </c>
      <c r="B101" t="s">
        <v>52</v>
      </c>
      <c r="C101">
        <v>1.3</v>
      </c>
      <c r="D101" t="s">
        <v>226</v>
      </c>
      <c r="E101" t="s">
        <v>79</v>
      </c>
      <c r="F101" t="s">
        <v>50</v>
      </c>
      <c r="G101" t="s">
        <v>141</v>
      </c>
      <c r="H101">
        <v>3</v>
      </c>
      <c r="I101">
        <v>27</v>
      </c>
      <c r="J101">
        <v>0</v>
      </c>
      <c r="K101" t="s">
        <v>39</v>
      </c>
    </row>
    <row r="102" spans="1:11" x14ac:dyDescent="0.25">
      <c r="A102">
        <v>101</v>
      </c>
      <c r="B102" t="s">
        <v>52</v>
      </c>
      <c r="C102">
        <v>1.4</v>
      </c>
      <c r="D102" t="s">
        <v>227</v>
      </c>
      <c r="E102" t="s">
        <v>83</v>
      </c>
      <c r="F102" t="s">
        <v>195</v>
      </c>
      <c r="G102" t="s">
        <v>162</v>
      </c>
      <c r="H102">
        <v>2</v>
      </c>
      <c r="I102">
        <v>18</v>
      </c>
      <c r="J102">
        <v>0</v>
      </c>
      <c r="K102" t="s">
        <v>39</v>
      </c>
    </row>
    <row r="103" spans="1:11" x14ac:dyDescent="0.25">
      <c r="A103">
        <v>102</v>
      </c>
      <c r="B103" t="s">
        <v>52</v>
      </c>
      <c r="C103">
        <v>1.5</v>
      </c>
      <c r="D103" t="s">
        <v>228</v>
      </c>
      <c r="E103" t="s">
        <v>79</v>
      </c>
      <c r="F103" t="s">
        <v>165</v>
      </c>
      <c r="G103" t="s">
        <v>43</v>
      </c>
      <c r="H103">
        <v>5</v>
      </c>
      <c r="I103">
        <v>45</v>
      </c>
      <c r="J103">
        <v>0</v>
      </c>
      <c r="K103" t="s">
        <v>39</v>
      </c>
    </row>
    <row r="104" spans="1:11" x14ac:dyDescent="0.25">
      <c r="A104">
        <v>103</v>
      </c>
      <c r="B104" t="s">
        <v>52</v>
      </c>
      <c r="C104">
        <v>1.6</v>
      </c>
      <c r="D104" t="s">
        <v>229</v>
      </c>
      <c r="E104" t="s">
        <v>81</v>
      </c>
      <c r="F104" t="s">
        <v>230</v>
      </c>
      <c r="G104" t="s">
        <v>43</v>
      </c>
      <c r="H104">
        <v>2</v>
      </c>
      <c r="I104">
        <v>18</v>
      </c>
      <c r="J104">
        <v>0</v>
      </c>
      <c r="K104" t="s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baseColWidth="10" defaultColWidth="9.140625" defaultRowHeight="15" x14ac:dyDescent="0.25"/>
  <cols>
    <col min="1" max="5" width="20" customWidth="1"/>
  </cols>
  <sheetData>
    <row r="1" spans="1:5" x14ac:dyDescent="0.25">
      <c r="A1" s="1" t="s">
        <v>59</v>
      </c>
      <c r="B1" s="1" t="s">
        <v>11</v>
      </c>
      <c r="C1" s="1" t="s">
        <v>60</v>
      </c>
      <c r="D1" s="1" t="s">
        <v>66</v>
      </c>
      <c r="E1" s="1" t="s">
        <v>231</v>
      </c>
    </row>
    <row r="2" spans="1:5" x14ac:dyDescent="0.25">
      <c r="A2" t="s">
        <v>82</v>
      </c>
      <c r="B2">
        <v>21</v>
      </c>
      <c r="C2">
        <v>5</v>
      </c>
      <c r="D2">
        <v>7</v>
      </c>
      <c r="E2" t="s">
        <v>69</v>
      </c>
    </row>
    <row r="3" spans="1:5" x14ac:dyDescent="0.25">
      <c r="A3" t="s">
        <v>75</v>
      </c>
      <c r="B3">
        <v>15</v>
      </c>
      <c r="C3">
        <v>3</v>
      </c>
      <c r="D3">
        <v>6</v>
      </c>
      <c r="E3" t="s">
        <v>69</v>
      </c>
    </row>
    <row r="4" spans="1:5" x14ac:dyDescent="0.25">
      <c r="A4" t="s">
        <v>81</v>
      </c>
      <c r="B4">
        <v>12</v>
      </c>
      <c r="C4">
        <v>5</v>
      </c>
      <c r="D4">
        <v>4</v>
      </c>
      <c r="E4" t="s">
        <v>232</v>
      </c>
    </row>
    <row r="5" spans="1:5" x14ac:dyDescent="0.25">
      <c r="A5" t="s">
        <v>74</v>
      </c>
      <c r="B5">
        <v>22</v>
      </c>
      <c r="C5">
        <v>1</v>
      </c>
      <c r="D5">
        <v>4</v>
      </c>
      <c r="E5" t="s">
        <v>232</v>
      </c>
    </row>
    <row r="6" spans="1:5" x14ac:dyDescent="0.25">
      <c r="A6" t="s">
        <v>71</v>
      </c>
      <c r="B6">
        <v>16</v>
      </c>
      <c r="C6">
        <v>3</v>
      </c>
      <c r="D6">
        <v>2</v>
      </c>
      <c r="E6" t="s">
        <v>233</v>
      </c>
    </row>
    <row r="7" spans="1:5" x14ac:dyDescent="0.25">
      <c r="A7" t="s">
        <v>83</v>
      </c>
      <c r="B7">
        <v>8</v>
      </c>
      <c r="C7">
        <v>4</v>
      </c>
      <c r="D7">
        <v>2</v>
      </c>
      <c r="E7" t="s">
        <v>233</v>
      </c>
    </row>
    <row r="8" spans="1:5" x14ac:dyDescent="0.25">
      <c r="A8" t="s">
        <v>79</v>
      </c>
      <c r="B8">
        <v>6</v>
      </c>
      <c r="C8">
        <v>3</v>
      </c>
      <c r="D8">
        <v>0</v>
      </c>
      <c r="E8" t="s">
        <v>234</v>
      </c>
    </row>
    <row r="9" spans="1:5" x14ac:dyDescent="0.25">
      <c r="A9" t="s">
        <v>68</v>
      </c>
      <c r="B9">
        <v>1</v>
      </c>
      <c r="C9">
        <v>1</v>
      </c>
      <c r="D9">
        <v>0</v>
      </c>
      <c r="E9" t="s">
        <v>234</v>
      </c>
    </row>
    <row r="10" spans="1:5" x14ac:dyDescent="0.25">
      <c r="A10" t="s">
        <v>80</v>
      </c>
      <c r="B10">
        <v>1</v>
      </c>
      <c r="C10">
        <v>1</v>
      </c>
      <c r="D10">
        <v>0</v>
      </c>
      <c r="E10" t="s">
        <v>234</v>
      </c>
    </row>
    <row r="11" spans="1:5" x14ac:dyDescent="0.25">
      <c r="A11" t="s">
        <v>76</v>
      </c>
      <c r="B11">
        <v>1</v>
      </c>
      <c r="C11">
        <v>1</v>
      </c>
      <c r="D11">
        <v>0</v>
      </c>
      <c r="E11" t="s">
        <v>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4"/>
  <sheetViews>
    <sheetView workbookViewId="0"/>
  </sheetViews>
  <sheetFormatPr baseColWidth="10" defaultColWidth="9.140625" defaultRowHeight="15" x14ac:dyDescent="0.25"/>
  <cols>
    <col min="1" max="9" width="18" customWidth="1"/>
  </cols>
  <sheetData>
    <row r="1" spans="1:9" x14ac:dyDescent="0.25">
      <c r="A1" s="1" t="s">
        <v>28</v>
      </c>
      <c r="B1" s="1" t="s">
        <v>235</v>
      </c>
      <c r="C1" s="1" t="s">
        <v>236</v>
      </c>
      <c r="D1" s="1" t="s">
        <v>91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</row>
    <row r="2" spans="1:9" x14ac:dyDescent="0.25">
      <c r="A2" t="s">
        <v>36</v>
      </c>
      <c r="B2" t="s">
        <v>242</v>
      </c>
      <c r="C2" t="s">
        <v>95</v>
      </c>
      <c r="D2" t="s">
        <v>74</v>
      </c>
      <c r="E2" t="s">
        <v>37</v>
      </c>
      <c r="F2" t="s">
        <v>37</v>
      </c>
      <c r="G2">
        <v>1</v>
      </c>
      <c r="H2">
        <v>0</v>
      </c>
      <c r="I2" t="s">
        <v>243</v>
      </c>
    </row>
    <row r="3" spans="1:9" x14ac:dyDescent="0.25">
      <c r="A3" t="s">
        <v>36</v>
      </c>
      <c r="B3" t="s">
        <v>244</v>
      </c>
      <c r="C3" t="s">
        <v>96</v>
      </c>
      <c r="D3" t="s">
        <v>74</v>
      </c>
      <c r="E3" t="s">
        <v>97</v>
      </c>
      <c r="F3" t="s">
        <v>97</v>
      </c>
      <c r="G3">
        <v>1</v>
      </c>
      <c r="H3">
        <v>0</v>
      </c>
      <c r="I3" t="s">
        <v>243</v>
      </c>
    </row>
    <row r="4" spans="1:9" x14ac:dyDescent="0.25">
      <c r="A4" t="s">
        <v>36</v>
      </c>
      <c r="B4" t="s">
        <v>245</v>
      </c>
      <c r="C4" t="s">
        <v>98</v>
      </c>
      <c r="D4" t="s">
        <v>71</v>
      </c>
      <c r="E4" t="s">
        <v>99</v>
      </c>
      <c r="F4" t="s">
        <v>99</v>
      </c>
      <c r="G4">
        <v>1</v>
      </c>
      <c r="H4">
        <v>0</v>
      </c>
      <c r="I4" t="s">
        <v>243</v>
      </c>
    </row>
    <row r="5" spans="1:9" x14ac:dyDescent="0.25">
      <c r="A5" t="s">
        <v>36</v>
      </c>
      <c r="B5" t="s">
        <v>246</v>
      </c>
      <c r="C5" t="s">
        <v>100</v>
      </c>
      <c r="D5" t="s">
        <v>71</v>
      </c>
      <c r="E5" t="s">
        <v>99</v>
      </c>
      <c r="F5" t="s">
        <v>99</v>
      </c>
      <c r="G5">
        <v>1</v>
      </c>
      <c r="H5">
        <v>0</v>
      </c>
      <c r="I5" t="s">
        <v>243</v>
      </c>
    </row>
    <row r="6" spans="1:9" x14ac:dyDescent="0.25">
      <c r="A6" t="s">
        <v>36</v>
      </c>
      <c r="B6" t="s">
        <v>247</v>
      </c>
      <c r="C6" t="s">
        <v>101</v>
      </c>
      <c r="D6" t="s">
        <v>71</v>
      </c>
      <c r="E6" t="s">
        <v>102</v>
      </c>
      <c r="F6" t="s">
        <v>102</v>
      </c>
      <c r="G6">
        <v>1</v>
      </c>
      <c r="H6">
        <v>0</v>
      </c>
      <c r="I6" t="s">
        <v>243</v>
      </c>
    </row>
    <row r="7" spans="1:9" x14ac:dyDescent="0.25">
      <c r="A7" t="s">
        <v>36</v>
      </c>
      <c r="B7" t="s">
        <v>248</v>
      </c>
      <c r="C7" t="s">
        <v>249</v>
      </c>
      <c r="D7" t="s">
        <v>71</v>
      </c>
      <c r="E7" t="s">
        <v>102</v>
      </c>
      <c r="F7" t="s">
        <v>56</v>
      </c>
      <c r="G7">
        <v>2</v>
      </c>
      <c r="H7">
        <v>0</v>
      </c>
      <c r="I7" t="s">
        <v>243</v>
      </c>
    </row>
    <row r="8" spans="1:9" x14ac:dyDescent="0.25">
      <c r="A8" t="s">
        <v>36</v>
      </c>
      <c r="B8" t="s">
        <v>250</v>
      </c>
      <c r="C8" t="s">
        <v>104</v>
      </c>
      <c r="D8" t="s">
        <v>71</v>
      </c>
      <c r="E8" t="s">
        <v>42</v>
      </c>
      <c r="F8" t="s">
        <v>42</v>
      </c>
      <c r="G8">
        <v>1</v>
      </c>
      <c r="H8">
        <v>0</v>
      </c>
      <c r="I8" t="s">
        <v>243</v>
      </c>
    </row>
    <row r="9" spans="1:9" x14ac:dyDescent="0.25">
      <c r="A9" t="s">
        <v>36</v>
      </c>
      <c r="B9" t="s">
        <v>251</v>
      </c>
      <c r="C9" t="s">
        <v>252</v>
      </c>
      <c r="D9" t="s">
        <v>79</v>
      </c>
      <c r="E9" t="s">
        <v>106</v>
      </c>
      <c r="F9" t="s">
        <v>107</v>
      </c>
      <c r="G9">
        <v>5</v>
      </c>
      <c r="H9">
        <v>0</v>
      </c>
      <c r="I9" t="s">
        <v>243</v>
      </c>
    </row>
    <row r="10" spans="1:9" x14ac:dyDescent="0.25">
      <c r="A10" t="s">
        <v>36</v>
      </c>
      <c r="B10" t="s">
        <v>253</v>
      </c>
      <c r="C10" t="s">
        <v>108</v>
      </c>
      <c r="D10" t="s">
        <v>71</v>
      </c>
      <c r="E10" t="s">
        <v>106</v>
      </c>
      <c r="F10" t="s">
        <v>106</v>
      </c>
      <c r="G10">
        <v>1</v>
      </c>
      <c r="H10">
        <v>0</v>
      </c>
      <c r="I10" t="s">
        <v>243</v>
      </c>
    </row>
    <row r="11" spans="1:9" x14ac:dyDescent="0.25">
      <c r="A11" t="s">
        <v>36</v>
      </c>
      <c r="B11" t="s">
        <v>254</v>
      </c>
      <c r="C11" t="s">
        <v>109</v>
      </c>
      <c r="D11" t="s">
        <v>74</v>
      </c>
      <c r="E11" t="s">
        <v>106</v>
      </c>
      <c r="F11" t="s">
        <v>110</v>
      </c>
      <c r="G11">
        <v>2</v>
      </c>
      <c r="H11">
        <v>0</v>
      </c>
      <c r="I11" t="s">
        <v>243</v>
      </c>
    </row>
    <row r="12" spans="1:9" x14ac:dyDescent="0.25">
      <c r="A12" t="s">
        <v>36</v>
      </c>
      <c r="B12" t="s">
        <v>255</v>
      </c>
      <c r="C12" t="s">
        <v>111</v>
      </c>
      <c r="D12" t="s">
        <v>71</v>
      </c>
      <c r="E12" t="s">
        <v>110</v>
      </c>
      <c r="F12" t="s">
        <v>110</v>
      </c>
      <c r="G12">
        <v>1</v>
      </c>
      <c r="H12">
        <v>0</v>
      </c>
      <c r="I12" t="s">
        <v>243</v>
      </c>
    </row>
    <row r="13" spans="1:9" x14ac:dyDescent="0.25">
      <c r="A13" t="s">
        <v>36</v>
      </c>
      <c r="B13" t="s">
        <v>256</v>
      </c>
      <c r="C13" t="s">
        <v>112</v>
      </c>
      <c r="D13" t="s">
        <v>71</v>
      </c>
      <c r="E13" t="s">
        <v>113</v>
      </c>
      <c r="F13" t="s">
        <v>113</v>
      </c>
      <c r="G13">
        <v>1</v>
      </c>
      <c r="H13">
        <v>0</v>
      </c>
      <c r="I13" t="s">
        <v>243</v>
      </c>
    </row>
    <row r="14" spans="1:9" x14ac:dyDescent="0.25">
      <c r="A14" t="s">
        <v>36</v>
      </c>
      <c r="B14" t="s">
        <v>257</v>
      </c>
      <c r="C14" t="s">
        <v>114</v>
      </c>
      <c r="D14" t="s">
        <v>82</v>
      </c>
      <c r="E14" t="s">
        <v>107</v>
      </c>
      <c r="F14" t="s">
        <v>115</v>
      </c>
      <c r="G14">
        <v>2</v>
      </c>
      <c r="H14">
        <v>0</v>
      </c>
      <c r="I14" t="s">
        <v>243</v>
      </c>
    </row>
    <row r="15" spans="1:9" x14ac:dyDescent="0.25">
      <c r="A15" t="s">
        <v>36</v>
      </c>
      <c r="B15" t="s">
        <v>258</v>
      </c>
      <c r="C15" t="s">
        <v>259</v>
      </c>
      <c r="D15" t="s">
        <v>74</v>
      </c>
      <c r="E15" t="s">
        <v>107</v>
      </c>
      <c r="F15" t="s">
        <v>107</v>
      </c>
      <c r="G15">
        <v>1</v>
      </c>
      <c r="H15">
        <v>0</v>
      </c>
      <c r="I15" t="s">
        <v>243</v>
      </c>
    </row>
    <row r="16" spans="1:9" x14ac:dyDescent="0.25">
      <c r="A16" t="s">
        <v>36</v>
      </c>
      <c r="B16" t="s">
        <v>260</v>
      </c>
      <c r="C16" t="s">
        <v>261</v>
      </c>
      <c r="D16" t="s">
        <v>74</v>
      </c>
      <c r="E16" t="s">
        <v>118</v>
      </c>
      <c r="F16" t="s">
        <v>119</v>
      </c>
      <c r="G16">
        <v>2</v>
      </c>
      <c r="H16">
        <v>0</v>
      </c>
      <c r="I16" t="s">
        <v>243</v>
      </c>
    </row>
    <row r="17" spans="1:9" x14ac:dyDescent="0.25">
      <c r="A17" t="s">
        <v>36</v>
      </c>
      <c r="B17" t="s">
        <v>262</v>
      </c>
      <c r="C17" t="s">
        <v>120</v>
      </c>
      <c r="D17" t="s">
        <v>74</v>
      </c>
      <c r="E17" t="s">
        <v>119</v>
      </c>
      <c r="F17" t="s">
        <v>121</v>
      </c>
      <c r="G17">
        <v>2</v>
      </c>
      <c r="H17">
        <v>0</v>
      </c>
      <c r="I17" t="s">
        <v>243</v>
      </c>
    </row>
    <row r="18" spans="1:9" x14ac:dyDescent="0.25">
      <c r="A18" t="s">
        <v>36</v>
      </c>
      <c r="B18" t="s">
        <v>263</v>
      </c>
      <c r="C18" t="s">
        <v>264</v>
      </c>
      <c r="D18" t="s">
        <v>75</v>
      </c>
      <c r="E18" t="s">
        <v>37</v>
      </c>
      <c r="F18" t="s">
        <v>42</v>
      </c>
      <c r="G18">
        <v>5</v>
      </c>
      <c r="H18">
        <v>0</v>
      </c>
      <c r="I18" t="s">
        <v>243</v>
      </c>
    </row>
    <row r="19" spans="1:9" x14ac:dyDescent="0.25">
      <c r="A19" t="s">
        <v>36</v>
      </c>
      <c r="B19" t="s">
        <v>265</v>
      </c>
      <c r="C19" t="s">
        <v>266</v>
      </c>
      <c r="D19" t="s">
        <v>75</v>
      </c>
      <c r="E19" t="s">
        <v>106</v>
      </c>
      <c r="F19" t="s">
        <v>110</v>
      </c>
      <c r="G19">
        <v>2</v>
      </c>
      <c r="H19">
        <v>0</v>
      </c>
      <c r="I19" t="s">
        <v>243</v>
      </c>
    </row>
    <row r="20" spans="1:9" x14ac:dyDescent="0.25">
      <c r="A20" t="s">
        <v>36</v>
      </c>
      <c r="B20" t="s">
        <v>267</v>
      </c>
      <c r="C20" t="s">
        <v>124</v>
      </c>
      <c r="D20" t="s">
        <v>75</v>
      </c>
      <c r="E20" t="s">
        <v>113</v>
      </c>
      <c r="F20" t="s">
        <v>113</v>
      </c>
      <c r="G20">
        <v>1</v>
      </c>
      <c r="H20">
        <v>0</v>
      </c>
      <c r="I20" t="s">
        <v>243</v>
      </c>
    </row>
    <row r="21" spans="1:9" x14ac:dyDescent="0.25">
      <c r="A21" t="s">
        <v>36</v>
      </c>
      <c r="B21" t="s">
        <v>268</v>
      </c>
      <c r="C21" t="s">
        <v>125</v>
      </c>
      <c r="D21" t="s">
        <v>75</v>
      </c>
      <c r="E21" t="s">
        <v>113</v>
      </c>
      <c r="F21" t="s">
        <v>107</v>
      </c>
      <c r="G21">
        <v>3</v>
      </c>
      <c r="H21">
        <v>0</v>
      </c>
      <c r="I21" t="s">
        <v>243</v>
      </c>
    </row>
    <row r="22" spans="1:9" x14ac:dyDescent="0.25">
      <c r="A22" t="s">
        <v>36</v>
      </c>
      <c r="B22" t="s">
        <v>269</v>
      </c>
      <c r="C22" t="s">
        <v>259</v>
      </c>
      <c r="D22" t="s">
        <v>75</v>
      </c>
      <c r="E22" t="s">
        <v>118</v>
      </c>
      <c r="F22" t="s">
        <v>121</v>
      </c>
      <c r="G22">
        <v>3</v>
      </c>
      <c r="H22">
        <v>0</v>
      </c>
      <c r="I22" t="s">
        <v>243</v>
      </c>
    </row>
    <row r="23" spans="1:9" x14ac:dyDescent="0.25">
      <c r="A23" t="s">
        <v>36</v>
      </c>
      <c r="B23" t="s">
        <v>270</v>
      </c>
      <c r="C23" t="s">
        <v>271</v>
      </c>
      <c r="D23" t="s">
        <v>75</v>
      </c>
      <c r="E23" t="s">
        <v>127</v>
      </c>
      <c r="F23" t="s">
        <v>127</v>
      </c>
      <c r="G23">
        <v>1</v>
      </c>
      <c r="H23">
        <v>0</v>
      </c>
      <c r="I23" t="s">
        <v>243</v>
      </c>
    </row>
    <row r="24" spans="1:9" x14ac:dyDescent="0.25">
      <c r="A24" t="s">
        <v>36</v>
      </c>
      <c r="B24" t="s">
        <v>272</v>
      </c>
      <c r="C24" t="s">
        <v>128</v>
      </c>
      <c r="D24" t="s">
        <v>75</v>
      </c>
      <c r="E24" t="s">
        <v>53</v>
      </c>
      <c r="F24" t="s">
        <v>129</v>
      </c>
      <c r="G24">
        <v>4</v>
      </c>
      <c r="H24">
        <v>0</v>
      </c>
      <c r="I24" t="s">
        <v>243</v>
      </c>
    </row>
    <row r="25" spans="1:9" x14ac:dyDescent="0.25">
      <c r="A25" t="s">
        <v>36</v>
      </c>
      <c r="B25" t="s">
        <v>273</v>
      </c>
      <c r="C25" t="s">
        <v>274</v>
      </c>
      <c r="D25" t="s">
        <v>75</v>
      </c>
      <c r="E25" t="s">
        <v>129</v>
      </c>
      <c r="F25" t="s">
        <v>131</v>
      </c>
      <c r="G25">
        <v>5</v>
      </c>
      <c r="H25">
        <v>0</v>
      </c>
      <c r="I25" t="s">
        <v>243</v>
      </c>
    </row>
    <row r="26" spans="1:9" x14ac:dyDescent="0.25">
      <c r="A26" t="s">
        <v>36</v>
      </c>
      <c r="B26" t="s">
        <v>275</v>
      </c>
      <c r="C26" t="s">
        <v>276</v>
      </c>
      <c r="D26" t="s">
        <v>75</v>
      </c>
      <c r="E26" t="s">
        <v>131</v>
      </c>
      <c r="F26" t="s">
        <v>133</v>
      </c>
      <c r="G26">
        <v>5</v>
      </c>
      <c r="H26">
        <v>0</v>
      </c>
      <c r="I26" t="s">
        <v>243</v>
      </c>
    </row>
    <row r="27" spans="1:9" x14ac:dyDescent="0.25">
      <c r="A27" t="s">
        <v>36</v>
      </c>
      <c r="B27" t="s">
        <v>277</v>
      </c>
      <c r="C27" t="s">
        <v>278</v>
      </c>
      <c r="D27" t="s">
        <v>75</v>
      </c>
      <c r="E27" t="s">
        <v>135</v>
      </c>
      <c r="F27" t="s">
        <v>136</v>
      </c>
      <c r="G27">
        <v>3</v>
      </c>
      <c r="H27">
        <v>0</v>
      </c>
      <c r="I27" t="s">
        <v>243</v>
      </c>
    </row>
    <row r="28" spans="1:9" x14ac:dyDescent="0.25">
      <c r="A28" t="s">
        <v>36</v>
      </c>
      <c r="B28" t="s">
        <v>279</v>
      </c>
      <c r="C28" t="s">
        <v>137</v>
      </c>
      <c r="D28" t="s">
        <v>75</v>
      </c>
      <c r="E28" t="s">
        <v>135</v>
      </c>
      <c r="F28" t="s">
        <v>136</v>
      </c>
      <c r="G28">
        <v>3</v>
      </c>
      <c r="H28">
        <v>0</v>
      </c>
      <c r="I28" t="s">
        <v>243</v>
      </c>
    </row>
    <row r="29" spans="1:9" x14ac:dyDescent="0.25">
      <c r="A29" t="s">
        <v>36</v>
      </c>
      <c r="B29" t="s">
        <v>280</v>
      </c>
      <c r="C29" t="s">
        <v>138</v>
      </c>
      <c r="D29" t="s">
        <v>75</v>
      </c>
      <c r="E29" t="s">
        <v>135</v>
      </c>
      <c r="F29" t="s">
        <v>136</v>
      </c>
      <c r="G29">
        <v>3</v>
      </c>
      <c r="H29">
        <v>0</v>
      </c>
      <c r="I29" t="s">
        <v>243</v>
      </c>
    </row>
    <row r="30" spans="1:9" x14ac:dyDescent="0.25">
      <c r="A30" t="s">
        <v>36</v>
      </c>
      <c r="B30" t="s">
        <v>281</v>
      </c>
      <c r="C30" t="s">
        <v>139</v>
      </c>
      <c r="D30" t="s">
        <v>75</v>
      </c>
      <c r="E30" t="s">
        <v>140</v>
      </c>
      <c r="F30" t="s">
        <v>141</v>
      </c>
      <c r="G30">
        <v>2</v>
      </c>
      <c r="H30">
        <v>0</v>
      </c>
      <c r="I30" t="s">
        <v>243</v>
      </c>
    </row>
    <row r="31" spans="1:9" x14ac:dyDescent="0.25">
      <c r="A31" t="s">
        <v>36</v>
      </c>
      <c r="B31" t="s">
        <v>282</v>
      </c>
      <c r="C31" t="s">
        <v>142</v>
      </c>
      <c r="D31" t="s">
        <v>74</v>
      </c>
      <c r="E31" t="s">
        <v>99</v>
      </c>
      <c r="F31" t="s">
        <v>56</v>
      </c>
      <c r="G31">
        <v>3</v>
      </c>
      <c r="H31">
        <v>0</v>
      </c>
      <c r="I31" t="s">
        <v>243</v>
      </c>
    </row>
    <row r="32" spans="1:9" x14ac:dyDescent="0.25">
      <c r="A32" t="s">
        <v>36</v>
      </c>
      <c r="B32" t="s">
        <v>283</v>
      </c>
      <c r="C32" t="s">
        <v>143</v>
      </c>
      <c r="D32" t="s">
        <v>74</v>
      </c>
      <c r="E32" t="s">
        <v>42</v>
      </c>
      <c r="F32" t="s">
        <v>106</v>
      </c>
      <c r="G32">
        <v>4</v>
      </c>
      <c r="H32">
        <v>0</v>
      </c>
      <c r="I32" t="s">
        <v>243</v>
      </c>
    </row>
    <row r="33" spans="1:9" x14ac:dyDescent="0.25">
      <c r="A33" t="s">
        <v>36</v>
      </c>
      <c r="B33" t="s">
        <v>284</v>
      </c>
      <c r="C33" t="s">
        <v>144</v>
      </c>
      <c r="D33" t="s">
        <v>74</v>
      </c>
      <c r="E33" t="s">
        <v>110</v>
      </c>
      <c r="F33" t="s">
        <v>113</v>
      </c>
      <c r="G33">
        <v>2</v>
      </c>
      <c r="H33">
        <v>0</v>
      </c>
      <c r="I33" t="s">
        <v>243</v>
      </c>
    </row>
    <row r="34" spans="1:9" x14ac:dyDescent="0.25">
      <c r="A34" t="s">
        <v>36</v>
      </c>
      <c r="B34" t="s">
        <v>285</v>
      </c>
      <c r="C34" t="s">
        <v>145</v>
      </c>
      <c r="D34" t="s">
        <v>74</v>
      </c>
      <c r="E34" t="s">
        <v>113</v>
      </c>
      <c r="F34" t="s">
        <v>107</v>
      </c>
      <c r="G34">
        <v>3</v>
      </c>
      <c r="H34">
        <v>0</v>
      </c>
      <c r="I34" t="s">
        <v>243</v>
      </c>
    </row>
    <row r="35" spans="1:9" x14ac:dyDescent="0.25">
      <c r="A35" t="s">
        <v>36</v>
      </c>
      <c r="B35" t="s">
        <v>286</v>
      </c>
      <c r="C35" t="s">
        <v>146</v>
      </c>
      <c r="D35" t="s">
        <v>74</v>
      </c>
      <c r="E35" t="s">
        <v>115</v>
      </c>
      <c r="F35" t="s">
        <v>118</v>
      </c>
      <c r="G35">
        <v>3</v>
      </c>
      <c r="H35">
        <v>0</v>
      </c>
      <c r="I35" t="s">
        <v>243</v>
      </c>
    </row>
    <row r="36" spans="1:9" x14ac:dyDescent="0.25">
      <c r="A36" t="s">
        <v>36</v>
      </c>
      <c r="B36" t="s">
        <v>287</v>
      </c>
      <c r="C36" t="s">
        <v>147</v>
      </c>
      <c r="D36" t="s">
        <v>74</v>
      </c>
      <c r="E36" t="s">
        <v>118</v>
      </c>
      <c r="F36" t="s">
        <v>119</v>
      </c>
      <c r="G36">
        <v>2</v>
      </c>
      <c r="H36">
        <v>0</v>
      </c>
      <c r="I36" t="s">
        <v>243</v>
      </c>
    </row>
    <row r="37" spans="1:9" x14ac:dyDescent="0.25">
      <c r="A37" t="s">
        <v>36</v>
      </c>
      <c r="B37" t="s">
        <v>288</v>
      </c>
      <c r="C37" t="s">
        <v>148</v>
      </c>
      <c r="D37" t="s">
        <v>74</v>
      </c>
      <c r="E37" t="s">
        <v>121</v>
      </c>
      <c r="F37" t="s">
        <v>121</v>
      </c>
      <c r="G37">
        <v>1</v>
      </c>
      <c r="H37">
        <v>0</v>
      </c>
      <c r="I37" t="s">
        <v>243</v>
      </c>
    </row>
    <row r="38" spans="1:9" x14ac:dyDescent="0.25">
      <c r="A38" t="s">
        <v>36</v>
      </c>
      <c r="B38" t="s">
        <v>289</v>
      </c>
      <c r="C38" t="s">
        <v>149</v>
      </c>
      <c r="D38" t="s">
        <v>74</v>
      </c>
      <c r="E38" t="s">
        <v>127</v>
      </c>
      <c r="F38" t="s">
        <v>127</v>
      </c>
      <c r="G38">
        <v>1</v>
      </c>
      <c r="H38">
        <v>0</v>
      </c>
      <c r="I38" t="s">
        <v>243</v>
      </c>
    </row>
    <row r="39" spans="1:9" x14ac:dyDescent="0.25">
      <c r="A39" t="s">
        <v>36</v>
      </c>
      <c r="B39" t="s">
        <v>290</v>
      </c>
      <c r="C39" t="s">
        <v>150</v>
      </c>
      <c r="D39" t="s">
        <v>74</v>
      </c>
      <c r="E39" t="s">
        <v>53</v>
      </c>
      <c r="F39" t="s">
        <v>57</v>
      </c>
      <c r="G39">
        <v>2</v>
      </c>
      <c r="H39">
        <v>0</v>
      </c>
      <c r="I39" t="s">
        <v>243</v>
      </c>
    </row>
    <row r="40" spans="1:9" x14ac:dyDescent="0.25">
      <c r="A40" t="s">
        <v>36</v>
      </c>
      <c r="B40" t="s">
        <v>291</v>
      </c>
      <c r="C40" t="s">
        <v>151</v>
      </c>
      <c r="D40" t="s">
        <v>74</v>
      </c>
      <c r="E40" t="s">
        <v>152</v>
      </c>
      <c r="F40" t="s">
        <v>152</v>
      </c>
      <c r="G40">
        <v>1</v>
      </c>
      <c r="H40">
        <v>0</v>
      </c>
      <c r="I40" t="s">
        <v>243</v>
      </c>
    </row>
    <row r="41" spans="1:9" x14ac:dyDescent="0.25">
      <c r="A41" t="s">
        <v>36</v>
      </c>
      <c r="B41" t="s">
        <v>292</v>
      </c>
      <c r="C41" t="s">
        <v>153</v>
      </c>
      <c r="D41" t="s">
        <v>74</v>
      </c>
      <c r="E41" t="s">
        <v>129</v>
      </c>
      <c r="F41" t="s">
        <v>97</v>
      </c>
      <c r="G41">
        <v>2</v>
      </c>
      <c r="H41">
        <v>0</v>
      </c>
      <c r="I41" t="s">
        <v>243</v>
      </c>
    </row>
    <row r="42" spans="1:9" x14ac:dyDescent="0.25">
      <c r="A42" t="s">
        <v>36</v>
      </c>
      <c r="B42" t="s">
        <v>293</v>
      </c>
      <c r="C42" t="s">
        <v>154</v>
      </c>
      <c r="D42" t="s">
        <v>74</v>
      </c>
      <c r="E42" t="s">
        <v>131</v>
      </c>
      <c r="F42" t="s">
        <v>155</v>
      </c>
      <c r="G42">
        <v>2</v>
      </c>
      <c r="H42">
        <v>0</v>
      </c>
      <c r="I42" t="s">
        <v>243</v>
      </c>
    </row>
    <row r="43" spans="1:9" x14ac:dyDescent="0.25">
      <c r="A43" t="s">
        <v>36</v>
      </c>
      <c r="B43" t="s">
        <v>294</v>
      </c>
      <c r="C43" t="s">
        <v>156</v>
      </c>
      <c r="D43" t="s">
        <v>74</v>
      </c>
      <c r="E43" t="s">
        <v>47</v>
      </c>
      <c r="F43" t="s">
        <v>135</v>
      </c>
      <c r="G43">
        <v>2</v>
      </c>
      <c r="H43">
        <v>0</v>
      </c>
      <c r="I43" t="s">
        <v>243</v>
      </c>
    </row>
    <row r="44" spans="1:9" x14ac:dyDescent="0.25">
      <c r="A44" t="s">
        <v>36</v>
      </c>
      <c r="B44" t="s">
        <v>295</v>
      </c>
      <c r="C44" t="s">
        <v>157</v>
      </c>
      <c r="D44" t="s">
        <v>74</v>
      </c>
      <c r="E44" t="s">
        <v>133</v>
      </c>
      <c r="F44" t="s">
        <v>133</v>
      </c>
      <c r="G44">
        <v>1</v>
      </c>
      <c r="H44">
        <v>0</v>
      </c>
      <c r="I44" t="s">
        <v>243</v>
      </c>
    </row>
    <row r="45" spans="1:9" x14ac:dyDescent="0.25">
      <c r="A45" t="s">
        <v>36</v>
      </c>
      <c r="B45" t="s">
        <v>296</v>
      </c>
      <c r="C45" t="s">
        <v>158</v>
      </c>
      <c r="D45" t="s">
        <v>74</v>
      </c>
      <c r="E45" t="s">
        <v>50</v>
      </c>
      <c r="F45" t="s">
        <v>140</v>
      </c>
      <c r="G45">
        <v>2</v>
      </c>
      <c r="H45">
        <v>0</v>
      </c>
      <c r="I45" t="s">
        <v>243</v>
      </c>
    </row>
    <row r="46" spans="1:9" x14ac:dyDescent="0.25">
      <c r="A46" t="s">
        <v>36</v>
      </c>
      <c r="B46" t="s">
        <v>297</v>
      </c>
      <c r="C46" t="s">
        <v>159</v>
      </c>
      <c r="D46" t="s">
        <v>74</v>
      </c>
      <c r="E46" t="s">
        <v>140</v>
      </c>
      <c r="F46" t="s">
        <v>141</v>
      </c>
      <c r="G46">
        <v>2</v>
      </c>
      <c r="H46">
        <v>0</v>
      </c>
      <c r="I46" t="s">
        <v>243</v>
      </c>
    </row>
    <row r="47" spans="1:9" x14ac:dyDescent="0.25">
      <c r="A47" t="s">
        <v>36</v>
      </c>
      <c r="B47" t="s">
        <v>298</v>
      </c>
      <c r="C47" t="s">
        <v>160</v>
      </c>
      <c r="D47" t="s">
        <v>71</v>
      </c>
      <c r="E47" t="s">
        <v>50</v>
      </c>
      <c r="F47" t="s">
        <v>50</v>
      </c>
      <c r="G47">
        <v>1</v>
      </c>
      <c r="H47">
        <v>0</v>
      </c>
      <c r="I47" t="s">
        <v>243</v>
      </c>
    </row>
    <row r="48" spans="1:9" x14ac:dyDescent="0.25">
      <c r="A48" t="s">
        <v>36</v>
      </c>
      <c r="B48" t="s">
        <v>299</v>
      </c>
      <c r="C48" t="s">
        <v>161</v>
      </c>
      <c r="D48" t="s">
        <v>81</v>
      </c>
      <c r="E48" t="s">
        <v>140</v>
      </c>
      <c r="F48" t="s">
        <v>162</v>
      </c>
      <c r="G48">
        <v>4</v>
      </c>
      <c r="H48">
        <v>0</v>
      </c>
      <c r="I48" t="s">
        <v>243</v>
      </c>
    </row>
    <row r="49" spans="1:9" x14ac:dyDescent="0.25">
      <c r="A49" t="s">
        <v>36</v>
      </c>
      <c r="B49" t="s">
        <v>300</v>
      </c>
      <c r="C49" t="s">
        <v>163</v>
      </c>
      <c r="D49" t="s">
        <v>83</v>
      </c>
      <c r="E49" t="s">
        <v>140</v>
      </c>
      <c r="F49" t="s">
        <v>162</v>
      </c>
      <c r="G49">
        <v>4</v>
      </c>
      <c r="H49">
        <v>0</v>
      </c>
      <c r="I49" t="s">
        <v>243</v>
      </c>
    </row>
    <row r="50" spans="1:9" x14ac:dyDescent="0.25">
      <c r="A50" t="s">
        <v>36</v>
      </c>
      <c r="B50" t="s">
        <v>301</v>
      </c>
      <c r="C50" t="s">
        <v>164</v>
      </c>
      <c r="D50" t="s">
        <v>71</v>
      </c>
      <c r="E50" t="s">
        <v>165</v>
      </c>
      <c r="F50" t="s">
        <v>166</v>
      </c>
      <c r="G50">
        <v>2</v>
      </c>
      <c r="H50">
        <v>0</v>
      </c>
      <c r="I50" t="s">
        <v>243</v>
      </c>
    </row>
    <row r="51" spans="1:9" x14ac:dyDescent="0.25">
      <c r="A51" t="s">
        <v>36</v>
      </c>
      <c r="B51" t="s">
        <v>302</v>
      </c>
      <c r="C51" t="s">
        <v>167</v>
      </c>
      <c r="D51" t="s">
        <v>81</v>
      </c>
      <c r="E51" t="s">
        <v>165</v>
      </c>
      <c r="F51" t="s">
        <v>166</v>
      </c>
      <c r="G51">
        <v>2</v>
      </c>
      <c r="H51">
        <v>0</v>
      </c>
      <c r="I51" t="s">
        <v>243</v>
      </c>
    </row>
    <row r="52" spans="1:9" x14ac:dyDescent="0.25">
      <c r="A52" t="s">
        <v>36</v>
      </c>
      <c r="B52" t="s">
        <v>303</v>
      </c>
      <c r="C52" t="s">
        <v>168</v>
      </c>
      <c r="D52" t="s">
        <v>83</v>
      </c>
      <c r="E52" t="s">
        <v>38</v>
      </c>
      <c r="F52" t="s">
        <v>38</v>
      </c>
      <c r="G52">
        <v>1</v>
      </c>
      <c r="H52">
        <v>0</v>
      </c>
      <c r="I52" t="s">
        <v>243</v>
      </c>
    </row>
    <row r="53" spans="1:9" x14ac:dyDescent="0.25">
      <c r="A53" t="s">
        <v>58</v>
      </c>
      <c r="B53" t="s">
        <v>304</v>
      </c>
      <c r="C53" t="s">
        <v>169</v>
      </c>
      <c r="D53" t="s">
        <v>82</v>
      </c>
      <c r="E53" t="s">
        <v>46</v>
      </c>
      <c r="F53" t="s">
        <v>170</v>
      </c>
      <c r="G53">
        <v>3</v>
      </c>
      <c r="H53">
        <v>0</v>
      </c>
      <c r="I53" t="s">
        <v>305</v>
      </c>
    </row>
    <row r="54" spans="1:9" x14ac:dyDescent="0.25">
      <c r="A54" t="s">
        <v>58</v>
      </c>
      <c r="B54" t="s">
        <v>306</v>
      </c>
      <c r="C54" t="s">
        <v>172</v>
      </c>
      <c r="D54" t="s">
        <v>79</v>
      </c>
      <c r="E54" t="s">
        <v>99</v>
      </c>
      <c r="F54" t="s">
        <v>102</v>
      </c>
      <c r="G54">
        <v>2</v>
      </c>
      <c r="H54">
        <v>0</v>
      </c>
      <c r="I54" t="s">
        <v>305</v>
      </c>
    </row>
    <row r="55" spans="1:9" x14ac:dyDescent="0.25">
      <c r="A55" t="s">
        <v>58</v>
      </c>
      <c r="B55" t="s">
        <v>307</v>
      </c>
      <c r="C55" t="s">
        <v>173</v>
      </c>
      <c r="D55" t="s">
        <v>82</v>
      </c>
      <c r="E55" t="s">
        <v>99</v>
      </c>
      <c r="F55" t="s">
        <v>102</v>
      </c>
      <c r="G55">
        <v>2</v>
      </c>
      <c r="H55">
        <v>0</v>
      </c>
      <c r="I55" t="s">
        <v>305</v>
      </c>
    </row>
    <row r="56" spans="1:9" x14ac:dyDescent="0.25">
      <c r="A56" t="s">
        <v>58</v>
      </c>
      <c r="B56" t="s">
        <v>308</v>
      </c>
      <c r="C56" t="s">
        <v>174</v>
      </c>
      <c r="D56" t="s">
        <v>82</v>
      </c>
      <c r="E56" t="s">
        <v>56</v>
      </c>
      <c r="F56" t="s">
        <v>56</v>
      </c>
      <c r="G56">
        <v>1</v>
      </c>
      <c r="H56">
        <v>0</v>
      </c>
      <c r="I56" t="s">
        <v>305</v>
      </c>
    </row>
    <row r="57" spans="1:9" x14ac:dyDescent="0.25">
      <c r="A57" t="s">
        <v>58</v>
      </c>
      <c r="B57" t="s">
        <v>309</v>
      </c>
      <c r="C57" t="s">
        <v>175</v>
      </c>
      <c r="D57" t="s">
        <v>79</v>
      </c>
      <c r="E57" t="s">
        <v>56</v>
      </c>
      <c r="F57" t="s">
        <v>56</v>
      </c>
      <c r="G57">
        <v>1</v>
      </c>
      <c r="H57">
        <v>0</v>
      </c>
      <c r="I57" t="s">
        <v>305</v>
      </c>
    </row>
    <row r="58" spans="1:9" x14ac:dyDescent="0.25">
      <c r="A58" t="s">
        <v>58</v>
      </c>
      <c r="B58" t="s">
        <v>310</v>
      </c>
      <c r="C58" t="s">
        <v>176</v>
      </c>
      <c r="D58" t="s">
        <v>82</v>
      </c>
      <c r="E58" t="s">
        <v>46</v>
      </c>
      <c r="F58" t="s">
        <v>170</v>
      </c>
      <c r="G58">
        <v>3</v>
      </c>
      <c r="H58">
        <v>0</v>
      </c>
      <c r="I58" t="s">
        <v>305</v>
      </c>
    </row>
    <row r="59" spans="1:9" x14ac:dyDescent="0.25">
      <c r="A59" t="s">
        <v>45</v>
      </c>
      <c r="B59" t="s">
        <v>311</v>
      </c>
      <c r="C59" t="s">
        <v>177</v>
      </c>
      <c r="D59" t="s">
        <v>71</v>
      </c>
      <c r="E59" t="s">
        <v>46</v>
      </c>
      <c r="F59" t="s">
        <v>37</v>
      </c>
      <c r="G59">
        <v>5</v>
      </c>
      <c r="H59">
        <v>0</v>
      </c>
      <c r="I59" t="s">
        <v>312</v>
      </c>
    </row>
    <row r="60" spans="1:9" x14ac:dyDescent="0.25">
      <c r="A60" t="s">
        <v>45</v>
      </c>
      <c r="B60" t="s">
        <v>313</v>
      </c>
      <c r="C60" t="s">
        <v>178</v>
      </c>
      <c r="D60" t="s">
        <v>82</v>
      </c>
      <c r="E60" t="s">
        <v>42</v>
      </c>
      <c r="F60" t="s">
        <v>107</v>
      </c>
      <c r="G60">
        <v>8</v>
      </c>
      <c r="H60">
        <v>50</v>
      </c>
      <c r="I60" t="s">
        <v>312</v>
      </c>
    </row>
    <row r="61" spans="1:9" x14ac:dyDescent="0.25">
      <c r="A61" t="s">
        <v>45</v>
      </c>
      <c r="B61" t="s">
        <v>314</v>
      </c>
      <c r="C61" t="s">
        <v>179</v>
      </c>
      <c r="D61" t="s">
        <v>82</v>
      </c>
      <c r="E61" t="s">
        <v>110</v>
      </c>
      <c r="F61" t="s">
        <v>107</v>
      </c>
      <c r="G61">
        <v>4</v>
      </c>
      <c r="H61">
        <v>0</v>
      </c>
      <c r="I61" t="s">
        <v>312</v>
      </c>
    </row>
    <row r="62" spans="1:9" x14ac:dyDescent="0.25">
      <c r="A62" t="s">
        <v>45</v>
      </c>
      <c r="B62" t="s">
        <v>315</v>
      </c>
      <c r="C62" t="s">
        <v>180</v>
      </c>
      <c r="D62" t="s">
        <v>82</v>
      </c>
      <c r="E62" t="s">
        <v>107</v>
      </c>
      <c r="F62" t="s">
        <v>181</v>
      </c>
      <c r="G62">
        <v>9</v>
      </c>
      <c r="H62">
        <v>0</v>
      </c>
      <c r="I62" t="s">
        <v>312</v>
      </c>
    </row>
    <row r="63" spans="1:9" x14ac:dyDescent="0.25">
      <c r="A63" t="s">
        <v>45</v>
      </c>
      <c r="B63" t="s">
        <v>316</v>
      </c>
      <c r="C63" t="s">
        <v>182</v>
      </c>
      <c r="D63" t="s">
        <v>82</v>
      </c>
      <c r="E63" t="s">
        <v>107</v>
      </c>
      <c r="F63" t="s">
        <v>181</v>
      </c>
      <c r="G63">
        <v>9</v>
      </c>
      <c r="H63">
        <v>0</v>
      </c>
      <c r="I63" t="s">
        <v>312</v>
      </c>
    </row>
    <row r="64" spans="1:9" x14ac:dyDescent="0.25">
      <c r="A64" t="s">
        <v>45</v>
      </c>
      <c r="B64" t="s">
        <v>317</v>
      </c>
      <c r="C64" t="s">
        <v>183</v>
      </c>
      <c r="D64" t="s">
        <v>82</v>
      </c>
      <c r="E64" t="s">
        <v>119</v>
      </c>
      <c r="F64" t="s">
        <v>181</v>
      </c>
      <c r="G64">
        <v>5</v>
      </c>
      <c r="H64">
        <v>0</v>
      </c>
      <c r="I64" t="s">
        <v>312</v>
      </c>
    </row>
    <row r="65" spans="1:9" x14ac:dyDescent="0.25">
      <c r="A65" t="s">
        <v>45</v>
      </c>
      <c r="B65" t="s">
        <v>318</v>
      </c>
      <c r="C65" t="s">
        <v>184</v>
      </c>
      <c r="D65" t="s">
        <v>82</v>
      </c>
      <c r="E65" t="s">
        <v>119</v>
      </c>
      <c r="F65" t="s">
        <v>181</v>
      </c>
      <c r="G65">
        <v>5</v>
      </c>
      <c r="H65">
        <v>0</v>
      </c>
      <c r="I65" t="s">
        <v>312</v>
      </c>
    </row>
    <row r="66" spans="1:9" x14ac:dyDescent="0.25">
      <c r="A66" t="s">
        <v>45</v>
      </c>
      <c r="B66" t="s">
        <v>319</v>
      </c>
      <c r="C66" t="s">
        <v>185</v>
      </c>
      <c r="D66" t="s">
        <v>81</v>
      </c>
      <c r="E66" t="s">
        <v>181</v>
      </c>
      <c r="F66" t="s">
        <v>186</v>
      </c>
      <c r="G66">
        <v>9</v>
      </c>
      <c r="H66">
        <v>0</v>
      </c>
      <c r="I66" t="s">
        <v>312</v>
      </c>
    </row>
    <row r="67" spans="1:9" x14ac:dyDescent="0.25">
      <c r="A67" t="s">
        <v>45</v>
      </c>
      <c r="B67" t="s">
        <v>320</v>
      </c>
      <c r="C67" t="s">
        <v>187</v>
      </c>
      <c r="D67" t="s">
        <v>81</v>
      </c>
      <c r="E67" t="s">
        <v>152</v>
      </c>
      <c r="F67" t="s">
        <v>186</v>
      </c>
      <c r="G67">
        <v>5</v>
      </c>
      <c r="H67">
        <v>0</v>
      </c>
      <c r="I67" t="s">
        <v>312</v>
      </c>
    </row>
    <row r="68" spans="1:9" x14ac:dyDescent="0.25">
      <c r="A68" t="s">
        <v>45</v>
      </c>
      <c r="B68" t="s">
        <v>321</v>
      </c>
      <c r="C68" t="s">
        <v>188</v>
      </c>
      <c r="D68" t="s">
        <v>83</v>
      </c>
      <c r="E68" t="s">
        <v>152</v>
      </c>
      <c r="F68" t="s">
        <v>186</v>
      </c>
      <c r="G68">
        <v>5</v>
      </c>
      <c r="H68">
        <v>0</v>
      </c>
      <c r="I68" t="s">
        <v>312</v>
      </c>
    </row>
    <row r="69" spans="1:9" x14ac:dyDescent="0.25">
      <c r="A69" t="s">
        <v>45</v>
      </c>
      <c r="B69" t="s">
        <v>322</v>
      </c>
      <c r="C69" t="s">
        <v>189</v>
      </c>
      <c r="D69" t="s">
        <v>71</v>
      </c>
      <c r="E69" t="s">
        <v>186</v>
      </c>
      <c r="F69" t="s">
        <v>47</v>
      </c>
      <c r="G69">
        <v>4</v>
      </c>
      <c r="H69">
        <v>0</v>
      </c>
      <c r="I69" t="s">
        <v>312</v>
      </c>
    </row>
    <row r="70" spans="1:9" x14ac:dyDescent="0.25">
      <c r="A70" t="s">
        <v>45</v>
      </c>
      <c r="B70" t="s">
        <v>323</v>
      </c>
      <c r="C70" t="s">
        <v>190</v>
      </c>
      <c r="D70" t="s">
        <v>81</v>
      </c>
      <c r="E70" t="s">
        <v>186</v>
      </c>
      <c r="F70" t="s">
        <v>47</v>
      </c>
      <c r="G70">
        <v>4</v>
      </c>
      <c r="H70">
        <v>0</v>
      </c>
      <c r="I70" t="s">
        <v>312</v>
      </c>
    </row>
    <row r="71" spans="1:9" x14ac:dyDescent="0.25">
      <c r="A71" t="s">
        <v>45</v>
      </c>
      <c r="B71" t="s">
        <v>324</v>
      </c>
      <c r="C71" t="s">
        <v>163</v>
      </c>
      <c r="D71" t="s">
        <v>83</v>
      </c>
      <c r="E71" t="s">
        <v>186</v>
      </c>
      <c r="F71" t="s">
        <v>47</v>
      </c>
      <c r="G71">
        <v>4</v>
      </c>
      <c r="H71">
        <v>0</v>
      </c>
      <c r="I71" t="s">
        <v>312</v>
      </c>
    </row>
    <row r="72" spans="1:9" x14ac:dyDescent="0.25">
      <c r="A72" t="s">
        <v>49</v>
      </c>
      <c r="B72" t="s">
        <v>325</v>
      </c>
      <c r="C72" t="s">
        <v>191</v>
      </c>
      <c r="D72" t="s">
        <v>71</v>
      </c>
      <c r="E72" t="s">
        <v>162</v>
      </c>
      <c r="F72" t="s">
        <v>192</v>
      </c>
      <c r="G72">
        <v>2</v>
      </c>
      <c r="H72">
        <v>0</v>
      </c>
      <c r="I72" t="s">
        <v>326</v>
      </c>
    </row>
    <row r="73" spans="1:9" x14ac:dyDescent="0.25">
      <c r="A73" t="s">
        <v>49</v>
      </c>
      <c r="B73" t="s">
        <v>327</v>
      </c>
      <c r="C73" t="s">
        <v>193</v>
      </c>
      <c r="D73" t="s">
        <v>71</v>
      </c>
      <c r="E73" t="s">
        <v>50</v>
      </c>
      <c r="F73" t="s">
        <v>140</v>
      </c>
      <c r="G73">
        <v>2</v>
      </c>
      <c r="H73">
        <v>0</v>
      </c>
      <c r="I73" t="s">
        <v>326</v>
      </c>
    </row>
    <row r="74" spans="1:9" x14ac:dyDescent="0.25">
      <c r="A74" t="s">
        <v>49</v>
      </c>
      <c r="B74" t="s">
        <v>328</v>
      </c>
      <c r="C74" t="s">
        <v>194</v>
      </c>
      <c r="D74" t="s">
        <v>71</v>
      </c>
      <c r="E74" t="s">
        <v>141</v>
      </c>
      <c r="F74" t="s">
        <v>195</v>
      </c>
      <c r="G74">
        <v>2</v>
      </c>
      <c r="H74">
        <v>0</v>
      </c>
      <c r="I74" t="s">
        <v>326</v>
      </c>
    </row>
    <row r="75" spans="1:9" x14ac:dyDescent="0.25">
      <c r="A75" t="s">
        <v>49</v>
      </c>
      <c r="B75" t="s">
        <v>329</v>
      </c>
      <c r="C75" t="s">
        <v>196</v>
      </c>
      <c r="D75" t="s">
        <v>81</v>
      </c>
      <c r="E75" t="s">
        <v>162</v>
      </c>
      <c r="F75" t="s">
        <v>162</v>
      </c>
      <c r="G75">
        <v>1</v>
      </c>
      <c r="H75">
        <v>0</v>
      </c>
      <c r="I75" t="s">
        <v>326</v>
      </c>
    </row>
    <row r="76" spans="1:9" x14ac:dyDescent="0.25">
      <c r="A76" t="s">
        <v>49</v>
      </c>
      <c r="B76" t="s">
        <v>330</v>
      </c>
      <c r="C76" t="s">
        <v>197</v>
      </c>
      <c r="D76" t="s">
        <v>81</v>
      </c>
      <c r="E76" t="s">
        <v>192</v>
      </c>
      <c r="F76" t="s">
        <v>198</v>
      </c>
      <c r="G76">
        <v>2</v>
      </c>
      <c r="H76">
        <v>0</v>
      </c>
      <c r="I76" t="s">
        <v>326</v>
      </c>
    </row>
    <row r="77" spans="1:9" x14ac:dyDescent="0.25">
      <c r="A77" t="s">
        <v>49</v>
      </c>
      <c r="B77" t="s">
        <v>331</v>
      </c>
      <c r="C77" t="s">
        <v>199</v>
      </c>
      <c r="D77" t="s">
        <v>81</v>
      </c>
      <c r="E77" t="s">
        <v>165</v>
      </c>
      <c r="F77" t="s">
        <v>165</v>
      </c>
      <c r="G77">
        <v>1</v>
      </c>
      <c r="H77">
        <v>0</v>
      </c>
      <c r="I77" t="s">
        <v>326</v>
      </c>
    </row>
    <row r="78" spans="1:9" x14ac:dyDescent="0.25">
      <c r="A78" t="s">
        <v>49</v>
      </c>
      <c r="B78" t="s">
        <v>332</v>
      </c>
      <c r="C78" t="s">
        <v>200</v>
      </c>
      <c r="D78" t="s">
        <v>82</v>
      </c>
      <c r="E78" t="s">
        <v>201</v>
      </c>
      <c r="F78" t="s">
        <v>201</v>
      </c>
      <c r="G78">
        <v>1</v>
      </c>
      <c r="H78">
        <v>0</v>
      </c>
      <c r="I78" t="s">
        <v>326</v>
      </c>
    </row>
    <row r="79" spans="1:9" x14ac:dyDescent="0.25">
      <c r="A79" t="s">
        <v>49</v>
      </c>
      <c r="B79" t="s">
        <v>333</v>
      </c>
      <c r="C79" t="s">
        <v>202</v>
      </c>
      <c r="D79" t="s">
        <v>71</v>
      </c>
      <c r="E79" t="s">
        <v>38</v>
      </c>
      <c r="F79" t="s">
        <v>38</v>
      </c>
      <c r="G79">
        <v>1</v>
      </c>
      <c r="H79">
        <v>0</v>
      </c>
      <c r="I79" t="s">
        <v>326</v>
      </c>
    </row>
    <row r="80" spans="1:9" x14ac:dyDescent="0.25">
      <c r="A80" t="s">
        <v>49</v>
      </c>
      <c r="B80" t="s">
        <v>334</v>
      </c>
      <c r="C80" t="s">
        <v>203</v>
      </c>
      <c r="D80" t="s">
        <v>83</v>
      </c>
      <c r="E80" t="s">
        <v>43</v>
      </c>
      <c r="F80" t="s">
        <v>43</v>
      </c>
      <c r="G80">
        <v>1</v>
      </c>
      <c r="H80">
        <v>0</v>
      </c>
      <c r="I80" t="s">
        <v>326</v>
      </c>
    </row>
    <row r="81" spans="1:9" x14ac:dyDescent="0.25">
      <c r="A81" t="s">
        <v>49</v>
      </c>
      <c r="B81" t="s">
        <v>335</v>
      </c>
      <c r="C81" t="s">
        <v>204</v>
      </c>
      <c r="D81" t="s">
        <v>81</v>
      </c>
      <c r="E81" t="s">
        <v>205</v>
      </c>
      <c r="F81" t="s">
        <v>43</v>
      </c>
      <c r="G81">
        <v>0</v>
      </c>
      <c r="H81">
        <v>0</v>
      </c>
      <c r="I81" t="s">
        <v>326</v>
      </c>
    </row>
    <row r="82" spans="1:9" x14ac:dyDescent="0.25">
      <c r="A82" t="s">
        <v>49</v>
      </c>
      <c r="B82" t="s">
        <v>336</v>
      </c>
      <c r="C82" t="s">
        <v>206</v>
      </c>
      <c r="D82" t="s">
        <v>83</v>
      </c>
      <c r="E82" t="s">
        <v>205</v>
      </c>
      <c r="F82" t="s">
        <v>43</v>
      </c>
      <c r="G82">
        <v>0</v>
      </c>
      <c r="H82">
        <v>0</v>
      </c>
      <c r="I82" t="s">
        <v>326</v>
      </c>
    </row>
    <row r="83" spans="1:9" x14ac:dyDescent="0.25">
      <c r="A83" t="s">
        <v>49</v>
      </c>
      <c r="B83" t="s">
        <v>337</v>
      </c>
      <c r="C83" t="s">
        <v>207</v>
      </c>
      <c r="D83" t="s">
        <v>83</v>
      </c>
      <c r="E83" t="s">
        <v>205</v>
      </c>
      <c r="F83" t="s">
        <v>43</v>
      </c>
      <c r="G83">
        <v>0</v>
      </c>
      <c r="H83">
        <v>0</v>
      </c>
      <c r="I83" t="s">
        <v>326</v>
      </c>
    </row>
    <row r="84" spans="1:9" x14ac:dyDescent="0.25">
      <c r="A84" t="s">
        <v>54</v>
      </c>
      <c r="B84" t="s">
        <v>338</v>
      </c>
      <c r="C84" t="s">
        <v>208</v>
      </c>
      <c r="D84" t="s">
        <v>75</v>
      </c>
      <c r="E84" t="s">
        <v>209</v>
      </c>
      <c r="F84" t="s">
        <v>210</v>
      </c>
      <c r="G84">
        <v>3</v>
      </c>
      <c r="H84">
        <v>0</v>
      </c>
      <c r="I84" t="s">
        <v>339</v>
      </c>
    </row>
    <row r="85" spans="1:9" x14ac:dyDescent="0.25">
      <c r="A85" t="s">
        <v>54</v>
      </c>
      <c r="B85" t="s">
        <v>340</v>
      </c>
      <c r="C85" t="s">
        <v>211</v>
      </c>
      <c r="D85" t="s">
        <v>82</v>
      </c>
      <c r="E85" t="s">
        <v>46</v>
      </c>
      <c r="F85" t="s">
        <v>170</v>
      </c>
      <c r="G85">
        <v>3</v>
      </c>
      <c r="H85">
        <v>0</v>
      </c>
      <c r="I85" t="s">
        <v>339</v>
      </c>
    </row>
    <row r="86" spans="1:9" x14ac:dyDescent="0.25">
      <c r="A86" t="s">
        <v>54</v>
      </c>
      <c r="B86" t="s">
        <v>341</v>
      </c>
      <c r="C86" t="s">
        <v>342</v>
      </c>
      <c r="D86" t="s">
        <v>82</v>
      </c>
      <c r="E86" t="s">
        <v>170</v>
      </c>
      <c r="F86" t="s">
        <v>170</v>
      </c>
      <c r="G86">
        <v>1</v>
      </c>
      <c r="H86">
        <v>0</v>
      </c>
      <c r="I86" t="s">
        <v>339</v>
      </c>
    </row>
    <row r="87" spans="1:9" x14ac:dyDescent="0.25">
      <c r="A87" t="s">
        <v>54</v>
      </c>
      <c r="B87" t="s">
        <v>343</v>
      </c>
      <c r="C87" t="s">
        <v>213</v>
      </c>
      <c r="D87" t="s">
        <v>82</v>
      </c>
      <c r="E87" t="s">
        <v>170</v>
      </c>
      <c r="F87" t="s">
        <v>170</v>
      </c>
      <c r="G87">
        <v>1</v>
      </c>
      <c r="H87">
        <v>0</v>
      </c>
      <c r="I87" t="s">
        <v>339</v>
      </c>
    </row>
    <row r="88" spans="1:9" x14ac:dyDescent="0.25">
      <c r="A88" t="s">
        <v>54</v>
      </c>
      <c r="B88" t="s">
        <v>344</v>
      </c>
      <c r="C88" t="s">
        <v>345</v>
      </c>
      <c r="D88" t="s">
        <v>82</v>
      </c>
      <c r="E88" t="s">
        <v>210</v>
      </c>
      <c r="F88" t="s">
        <v>210</v>
      </c>
      <c r="G88">
        <v>1</v>
      </c>
      <c r="H88">
        <v>0</v>
      </c>
      <c r="I88" t="s">
        <v>339</v>
      </c>
    </row>
    <row r="89" spans="1:9" x14ac:dyDescent="0.25">
      <c r="A89" t="s">
        <v>54</v>
      </c>
      <c r="B89" t="s">
        <v>346</v>
      </c>
      <c r="C89" t="s">
        <v>215</v>
      </c>
      <c r="D89" t="s">
        <v>82</v>
      </c>
      <c r="E89" t="s">
        <v>102</v>
      </c>
      <c r="F89" t="s">
        <v>102</v>
      </c>
      <c r="G89">
        <v>1</v>
      </c>
      <c r="H89">
        <v>0</v>
      </c>
      <c r="I89" t="s">
        <v>339</v>
      </c>
    </row>
    <row r="90" spans="1:9" x14ac:dyDescent="0.25">
      <c r="A90" t="s">
        <v>54</v>
      </c>
      <c r="B90" t="s">
        <v>347</v>
      </c>
      <c r="C90" t="s">
        <v>216</v>
      </c>
      <c r="D90" t="s">
        <v>82</v>
      </c>
      <c r="E90" t="s">
        <v>102</v>
      </c>
      <c r="F90" t="s">
        <v>102</v>
      </c>
      <c r="G90">
        <v>1</v>
      </c>
      <c r="H90">
        <v>0</v>
      </c>
      <c r="I90" t="s">
        <v>339</v>
      </c>
    </row>
    <row r="91" spans="1:9" x14ac:dyDescent="0.25">
      <c r="A91" t="s">
        <v>54</v>
      </c>
      <c r="B91" t="s">
        <v>348</v>
      </c>
      <c r="C91" t="s">
        <v>217</v>
      </c>
      <c r="D91" t="s">
        <v>82</v>
      </c>
      <c r="E91" t="s">
        <v>42</v>
      </c>
      <c r="F91" t="s">
        <v>42</v>
      </c>
      <c r="G91">
        <v>1</v>
      </c>
      <c r="H91">
        <v>0</v>
      </c>
      <c r="I91" t="s">
        <v>339</v>
      </c>
    </row>
    <row r="92" spans="1:9" x14ac:dyDescent="0.25">
      <c r="A92" t="s">
        <v>54</v>
      </c>
      <c r="B92" t="s">
        <v>349</v>
      </c>
      <c r="C92" t="s">
        <v>218</v>
      </c>
      <c r="D92" t="s">
        <v>82</v>
      </c>
      <c r="E92" t="s">
        <v>170</v>
      </c>
      <c r="F92" t="s">
        <v>170</v>
      </c>
      <c r="G92">
        <v>1</v>
      </c>
      <c r="H92">
        <v>0</v>
      </c>
      <c r="I92" t="s">
        <v>339</v>
      </c>
    </row>
    <row r="93" spans="1:9" x14ac:dyDescent="0.25">
      <c r="A93" t="s">
        <v>54</v>
      </c>
      <c r="B93" t="s">
        <v>350</v>
      </c>
      <c r="C93" t="s">
        <v>219</v>
      </c>
      <c r="D93" t="s">
        <v>82</v>
      </c>
      <c r="E93" t="s">
        <v>170</v>
      </c>
      <c r="F93" t="s">
        <v>170</v>
      </c>
      <c r="G93">
        <v>1</v>
      </c>
      <c r="H93">
        <v>0</v>
      </c>
      <c r="I93" t="s">
        <v>339</v>
      </c>
    </row>
    <row r="94" spans="1:9" x14ac:dyDescent="0.25">
      <c r="A94" t="s">
        <v>55</v>
      </c>
      <c r="B94" t="s">
        <v>351</v>
      </c>
      <c r="C94" t="s">
        <v>220</v>
      </c>
      <c r="D94" t="s">
        <v>76</v>
      </c>
      <c r="E94" t="s">
        <v>56</v>
      </c>
      <c r="F94" t="s">
        <v>56</v>
      </c>
      <c r="G94">
        <v>1</v>
      </c>
      <c r="H94">
        <v>0</v>
      </c>
      <c r="I94" t="s">
        <v>352</v>
      </c>
    </row>
    <row r="95" spans="1:9" x14ac:dyDescent="0.25">
      <c r="A95" t="s">
        <v>55</v>
      </c>
      <c r="B95" t="s">
        <v>353</v>
      </c>
      <c r="C95" t="s">
        <v>221</v>
      </c>
      <c r="D95" t="s">
        <v>80</v>
      </c>
      <c r="E95" t="s">
        <v>42</v>
      </c>
      <c r="F95" t="s">
        <v>42</v>
      </c>
      <c r="G95">
        <v>1</v>
      </c>
      <c r="H95">
        <v>0</v>
      </c>
      <c r="I95" t="s">
        <v>352</v>
      </c>
    </row>
    <row r="96" spans="1:9" x14ac:dyDescent="0.25">
      <c r="A96" t="s">
        <v>55</v>
      </c>
      <c r="B96" t="s">
        <v>354</v>
      </c>
      <c r="C96" t="s">
        <v>219</v>
      </c>
      <c r="D96" t="s">
        <v>81</v>
      </c>
      <c r="E96" t="s">
        <v>42</v>
      </c>
      <c r="F96" t="s">
        <v>110</v>
      </c>
      <c r="G96">
        <v>5</v>
      </c>
      <c r="H96">
        <v>0</v>
      </c>
      <c r="I96" t="s">
        <v>352</v>
      </c>
    </row>
    <row r="97" spans="1:9" x14ac:dyDescent="0.25">
      <c r="A97" t="s">
        <v>55</v>
      </c>
      <c r="B97" t="s">
        <v>355</v>
      </c>
      <c r="C97" t="s">
        <v>222</v>
      </c>
      <c r="D97" t="s">
        <v>81</v>
      </c>
      <c r="E97" t="s">
        <v>119</v>
      </c>
      <c r="F97" t="s">
        <v>57</v>
      </c>
      <c r="G97">
        <v>8</v>
      </c>
      <c r="H97">
        <v>0</v>
      </c>
      <c r="I97" t="s">
        <v>352</v>
      </c>
    </row>
    <row r="98" spans="1:9" x14ac:dyDescent="0.25">
      <c r="A98" t="s">
        <v>41</v>
      </c>
      <c r="B98" t="s">
        <v>356</v>
      </c>
      <c r="C98" t="s">
        <v>223</v>
      </c>
      <c r="D98" t="s">
        <v>68</v>
      </c>
      <c r="E98" t="s">
        <v>42</v>
      </c>
      <c r="F98" t="s">
        <v>43</v>
      </c>
      <c r="G98">
        <v>43</v>
      </c>
      <c r="H98">
        <v>0</v>
      </c>
      <c r="I98" t="s">
        <v>357</v>
      </c>
    </row>
    <row r="99" spans="1:9" x14ac:dyDescent="0.25">
      <c r="A99" t="s">
        <v>52</v>
      </c>
      <c r="B99" t="s">
        <v>358</v>
      </c>
      <c r="C99" t="s">
        <v>224</v>
      </c>
      <c r="D99" t="s">
        <v>79</v>
      </c>
      <c r="E99" t="s">
        <v>53</v>
      </c>
      <c r="F99" t="s">
        <v>97</v>
      </c>
      <c r="G99">
        <v>5</v>
      </c>
      <c r="H99">
        <v>0</v>
      </c>
      <c r="I99" t="s">
        <v>359</v>
      </c>
    </row>
    <row r="100" spans="1:9" x14ac:dyDescent="0.25">
      <c r="A100" t="s">
        <v>52</v>
      </c>
      <c r="B100" t="s">
        <v>360</v>
      </c>
      <c r="C100" t="s">
        <v>225</v>
      </c>
      <c r="D100" t="s">
        <v>75</v>
      </c>
      <c r="E100" t="s">
        <v>131</v>
      </c>
      <c r="F100" t="s">
        <v>133</v>
      </c>
      <c r="G100">
        <v>5</v>
      </c>
      <c r="H100">
        <v>0</v>
      </c>
      <c r="I100" t="s">
        <v>359</v>
      </c>
    </row>
    <row r="101" spans="1:9" x14ac:dyDescent="0.25">
      <c r="A101" t="s">
        <v>52</v>
      </c>
      <c r="B101" t="s">
        <v>361</v>
      </c>
      <c r="C101" t="s">
        <v>226</v>
      </c>
      <c r="D101" t="s">
        <v>79</v>
      </c>
      <c r="E101" t="s">
        <v>50</v>
      </c>
      <c r="F101" t="s">
        <v>141</v>
      </c>
      <c r="G101">
        <v>3</v>
      </c>
      <c r="H101">
        <v>0</v>
      </c>
      <c r="I101" t="s">
        <v>359</v>
      </c>
    </row>
    <row r="102" spans="1:9" x14ac:dyDescent="0.25">
      <c r="A102" t="s">
        <v>52</v>
      </c>
      <c r="B102" t="s">
        <v>362</v>
      </c>
      <c r="C102" t="s">
        <v>227</v>
      </c>
      <c r="D102" t="s">
        <v>83</v>
      </c>
      <c r="E102" t="s">
        <v>195</v>
      </c>
      <c r="F102" t="s">
        <v>162</v>
      </c>
      <c r="G102">
        <v>2</v>
      </c>
      <c r="H102">
        <v>0</v>
      </c>
      <c r="I102" t="s">
        <v>359</v>
      </c>
    </row>
    <row r="103" spans="1:9" x14ac:dyDescent="0.25">
      <c r="A103" t="s">
        <v>52</v>
      </c>
      <c r="B103" t="s">
        <v>363</v>
      </c>
      <c r="C103" t="s">
        <v>228</v>
      </c>
      <c r="D103" t="s">
        <v>79</v>
      </c>
      <c r="E103" t="s">
        <v>165</v>
      </c>
      <c r="F103" t="s">
        <v>43</v>
      </c>
      <c r="G103">
        <v>5</v>
      </c>
      <c r="H103">
        <v>0</v>
      </c>
      <c r="I103" t="s">
        <v>359</v>
      </c>
    </row>
    <row r="104" spans="1:9" x14ac:dyDescent="0.25">
      <c r="A104" t="s">
        <v>52</v>
      </c>
      <c r="B104" t="s">
        <v>364</v>
      </c>
      <c r="C104" t="s">
        <v>229</v>
      </c>
      <c r="D104" t="s">
        <v>81</v>
      </c>
      <c r="E104" t="s">
        <v>230</v>
      </c>
      <c r="F104" t="s">
        <v>43</v>
      </c>
      <c r="G104">
        <v>-2</v>
      </c>
      <c r="H104">
        <v>0</v>
      </c>
      <c r="I104" t="s">
        <v>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4"/>
  <sheetViews>
    <sheetView workbookViewId="0"/>
  </sheetViews>
  <sheetFormatPr baseColWidth="10" defaultColWidth="9.140625" defaultRowHeight="15" x14ac:dyDescent="0.25"/>
  <cols>
    <col min="1" max="3" width="25" customWidth="1"/>
  </cols>
  <sheetData>
    <row r="1" spans="1:3" ht="15.75" x14ac:dyDescent="0.25">
      <c r="A1" s="3" t="s">
        <v>365</v>
      </c>
    </row>
    <row r="3" spans="1:3" x14ac:dyDescent="0.25">
      <c r="A3" s="2" t="s">
        <v>28</v>
      </c>
      <c r="B3" s="2" t="s">
        <v>366</v>
      </c>
      <c r="C3" s="2" t="s">
        <v>367</v>
      </c>
    </row>
    <row r="4" spans="1:3" x14ac:dyDescent="0.25">
      <c r="A4" t="s">
        <v>36</v>
      </c>
      <c r="B4">
        <v>855</v>
      </c>
      <c r="C4">
        <v>37.924151696606778</v>
      </c>
    </row>
    <row r="5" spans="1:3" x14ac:dyDescent="0.25">
      <c r="A5" t="s">
        <v>41</v>
      </c>
      <c r="B5">
        <v>387</v>
      </c>
      <c r="C5">
        <v>17.165668662674651</v>
      </c>
    </row>
    <row r="6" spans="1:3" x14ac:dyDescent="0.25">
      <c r="A6" t="s">
        <v>45</v>
      </c>
      <c r="B6">
        <v>279</v>
      </c>
      <c r="C6">
        <v>12.375249500998001</v>
      </c>
    </row>
    <row r="7" spans="1:3" x14ac:dyDescent="0.25">
      <c r="A7" t="s">
        <v>49</v>
      </c>
      <c r="B7">
        <v>198</v>
      </c>
      <c r="C7">
        <v>8.7824351297405201</v>
      </c>
    </row>
    <row r="8" spans="1:3" x14ac:dyDescent="0.25">
      <c r="A8" t="s">
        <v>52</v>
      </c>
      <c r="B8">
        <v>198</v>
      </c>
      <c r="C8">
        <v>8.7824351297405201</v>
      </c>
    </row>
    <row r="9" spans="1:3" x14ac:dyDescent="0.25">
      <c r="A9" t="s">
        <v>54</v>
      </c>
      <c r="B9">
        <v>157.5</v>
      </c>
      <c r="C9">
        <v>6.9860279441117763</v>
      </c>
    </row>
    <row r="10" spans="1:3" x14ac:dyDescent="0.25">
      <c r="A10" t="s">
        <v>58</v>
      </c>
      <c r="B10">
        <v>90</v>
      </c>
      <c r="C10">
        <v>3.992015968063872</v>
      </c>
    </row>
    <row r="11" spans="1:3" x14ac:dyDescent="0.25">
      <c r="A11" t="s">
        <v>55</v>
      </c>
      <c r="B11">
        <v>90</v>
      </c>
      <c r="C11">
        <v>3.992015968063872</v>
      </c>
    </row>
    <row r="14" spans="1:3" x14ac:dyDescent="0.25">
      <c r="A14" s="2" t="s">
        <v>59</v>
      </c>
      <c r="B14" s="2" t="s">
        <v>63</v>
      </c>
      <c r="C14" s="2" t="s">
        <v>4</v>
      </c>
    </row>
    <row r="15" spans="1:3" x14ac:dyDescent="0.25">
      <c r="A15" t="s">
        <v>68</v>
      </c>
      <c r="B15">
        <v>140.21739130434781</v>
      </c>
      <c r="C15" t="s">
        <v>69</v>
      </c>
    </row>
    <row r="16" spans="1:3" x14ac:dyDescent="0.25">
      <c r="A16" t="s">
        <v>71</v>
      </c>
      <c r="B16">
        <v>108.8372093023256</v>
      </c>
      <c r="C16" t="s">
        <v>69</v>
      </c>
    </row>
    <row r="17" spans="1:3" x14ac:dyDescent="0.25">
      <c r="A17" t="s">
        <v>74</v>
      </c>
      <c r="B17">
        <v>108.43373493975901</v>
      </c>
      <c r="C17" t="s">
        <v>69</v>
      </c>
    </row>
    <row r="18" spans="1:3" x14ac:dyDescent="0.25">
      <c r="A18" t="s">
        <v>75</v>
      </c>
      <c r="B18">
        <v>101.9830028328612</v>
      </c>
      <c r="C18" t="s">
        <v>69</v>
      </c>
    </row>
    <row r="19" spans="1:3" x14ac:dyDescent="0.25">
      <c r="A19" t="s">
        <v>76</v>
      </c>
      <c r="B19">
        <v>100</v>
      </c>
      <c r="C19" t="s">
        <v>77</v>
      </c>
    </row>
    <row r="20" spans="1:3" x14ac:dyDescent="0.25">
      <c r="A20" t="s">
        <v>79</v>
      </c>
      <c r="B20">
        <v>100</v>
      </c>
      <c r="C20" t="s">
        <v>77</v>
      </c>
    </row>
    <row r="21" spans="1:3" x14ac:dyDescent="0.25">
      <c r="A21" t="s">
        <v>80</v>
      </c>
      <c r="B21">
        <v>100</v>
      </c>
      <c r="C21" t="s">
        <v>77</v>
      </c>
    </row>
    <row r="22" spans="1:3" x14ac:dyDescent="0.25">
      <c r="A22" t="s">
        <v>81</v>
      </c>
      <c r="B22">
        <v>94.186046511627922</v>
      </c>
      <c r="C22" t="s">
        <v>77</v>
      </c>
    </row>
    <row r="23" spans="1:3" x14ac:dyDescent="0.25">
      <c r="A23" t="s">
        <v>82</v>
      </c>
      <c r="B23">
        <v>87.328767123287676</v>
      </c>
      <c r="C23" t="s">
        <v>77</v>
      </c>
    </row>
    <row r="24" spans="1:3" x14ac:dyDescent="0.25">
      <c r="A24" t="s">
        <v>83</v>
      </c>
      <c r="B24">
        <v>74.380165289256198</v>
      </c>
      <c r="C2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Dashboard_Resumen</vt:lpstr>
      <vt:lpstr>Recursos</vt:lpstr>
      <vt:lpstr>Proyectos</vt:lpstr>
      <vt:lpstr>Horas</vt:lpstr>
      <vt:lpstr>Matriz_Horas</vt:lpstr>
      <vt:lpstr>Tareas</vt:lpstr>
      <vt:lpstr>Solapamientos</vt:lpstr>
      <vt:lpstr>Timeline</vt:lpstr>
      <vt:lpstr>Metricas_Graficos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Felipe Hurtado Pardo</cp:lastModifiedBy>
  <dcterms:created xsi:type="dcterms:W3CDTF">2025-12-14T22:10:00Z</dcterms:created>
  <dcterms:modified xsi:type="dcterms:W3CDTF">2025-12-15T16:55:42Z</dcterms:modified>
</cp:coreProperties>
</file>